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M:\MACROECON\Ali\CPI - AI Methodology\"/>
    </mc:Choice>
  </mc:AlternateContent>
  <xr:revisionPtr revIDLastSave="0" documentId="13_ncr:1_{E2FEEC7F-9BEB-4DBA-97DF-71C0A331AEEF}" xr6:coauthVersionLast="47" xr6:coauthVersionMax="47" xr10:uidLastSave="{00000000-0000-0000-0000-000000000000}"/>
  <bookViews>
    <workbookView xWindow="17985" yWindow="2925" windowWidth="10365" windowHeight="11475" firstSheet="12" activeTab="12" xr2:uid="{78ACD06F-1198-42F5-B6ED-9B22353E8D8C}"/>
  </bookViews>
  <sheets>
    <sheet name="Major Categories" sheetId="1" r:id="rId1"/>
    <sheet name="Food &amp; Beverages" sheetId="5" r:id="rId2"/>
    <sheet name="Ciggarettes &amp; Tobacco" sheetId="6" r:id="rId3"/>
    <sheet name="CLOTHING &amp; FOOTWEAR" sheetId="7" r:id="rId4"/>
    <sheet name="HOUSING SERVICES" sheetId="8" r:id="rId5"/>
    <sheet name="FURNISHING EQUIPMENT HOUSEHOLD " sheetId="9" r:id="rId6"/>
    <sheet name="HEALTH" sheetId="10" r:id="rId7"/>
    <sheet name="TRANSPORT" sheetId="11" r:id="rId8"/>
    <sheet name="COMMUNICATION" sheetId="12" r:id="rId9"/>
    <sheet name="RECREATION &amp; CULTURE" sheetId="13" r:id="rId10"/>
    <sheet name="EDUCATION" sheetId="14" r:id="rId11"/>
    <sheet name="RESTAURANT &amp; HOTELS" sheetId="15" r:id="rId12"/>
    <sheet name="SERVICES &amp; MISCELLANEOUS GOODS" sheetId="16" r:id="rId13"/>
    <sheet name="Data Sources" sheetId="2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5" l="1"/>
  <c r="G6" i="5"/>
  <c r="G5" i="5"/>
  <c r="G2" i="5"/>
  <c r="H2" i="5" s="1"/>
  <c r="I2" i="5" s="1"/>
  <c r="D5" i="2"/>
  <c r="D4" i="2"/>
  <c r="D3" i="2"/>
  <c r="D2" i="2"/>
</calcChain>
</file>

<file path=xl/sharedStrings.xml><?xml version="1.0" encoding="utf-8"?>
<sst xmlns="http://schemas.openxmlformats.org/spreadsheetml/2006/main" count="426" uniqueCount="281">
  <si>
    <t>Food &amp; Beverages</t>
  </si>
  <si>
    <t>Ciggarettes &amp; Tobacco</t>
  </si>
  <si>
    <t>CLOTHING &amp; FOOTWEAR</t>
  </si>
  <si>
    <t>HOUSING SERVICES</t>
  </si>
  <si>
    <t xml:space="preserve">FURNISHING EQUIPMENT HOUSEHOLD MAINTENANCE  </t>
  </si>
  <si>
    <t>HEALTH</t>
  </si>
  <si>
    <t>TRANSPORT</t>
  </si>
  <si>
    <t>COMMUNICATION</t>
  </si>
  <si>
    <t>RECREATION &amp; CULTURE</t>
  </si>
  <si>
    <t>EDUCATION</t>
  </si>
  <si>
    <t>RESTAURANT &amp; HOTELS</t>
  </si>
  <si>
    <t>SERVICES &amp; MISCELLANEOUS GOODS</t>
  </si>
  <si>
    <t>Food</t>
  </si>
  <si>
    <t>Cereals and bread</t>
  </si>
  <si>
    <t>Meat and Poultry</t>
  </si>
  <si>
    <t>Fish and seafood</t>
  </si>
  <si>
    <t>Milk, cheese and eggs</t>
  </si>
  <si>
    <t>Oils and fats</t>
  </si>
  <si>
    <t>Fresh, frozen and dried fruits</t>
  </si>
  <si>
    <t>Fresh, frozen and dried vegetables</t>
  </si>
  <si>
    <t>Sugar and sugar products</t>
  </si>
  <si>
    <t>Other food items</t>
  </si>
  <si>
    <t>Beverages</t>
  </si>
  <si>
    <t>Coffee, tea and cocoa</t>
  </si>
  <si>
    <t>Mineral water and soft drinks</t>
  </si>
  <si>
    <t>Tobacco</t>
  </si>
  <si>
    <t>Clothing</t>
  </si>
  <si>
    <t>Clothing materials</t>
  </si>
  <si>
    <t>Garments</t>
  </si>
  <si>
    <t>Clothing accessories</t>
  </si>
  <si>
    <t>Cleaning, sewing and repair of clothing</t>
  </si>
  <si>
    <t>Footwear</t>
  </si>
  <si>
    <t>Shoes &amp; Footwear</t>
  </si>
  <si>
    <t>Shoe repair</t>
  </si>
  <si>
    <t>Housing Rents</t>
  </si>
  <si>
    <t>Rent</t>
  </si>
  <si>
    <t>Service, Maintenance and Repair</t>
  </si>
  <si>
    <t>Housing repair and maintenance materials</t>
  </si>
  <si>
    <t>Fees for repair and maintenance of housing</t>
  </si>
  <si>
    <t>Water Supply</t>
  </si>
  <si>
    <t>Water supplies</t>
  </si>
  <si>
    <t>Electricity, Gas, and other Fuels</t>
  </si>
  <si>
    <t>Electricity consumption</t>
  </si>
  <si>
    <t>Gas</t>
  </si>
  <si>
    <t>Liquid fuel</t>
  </si>
  <si>
    <t>Solid fuel</t>
  </si>
  <si>
    <t>Furniture, upholstery, carpets and other flooring</t>
  </si>
  <si>
    <t>Furniture &amp; Furnishings</t>
  </si>
  <si>
    <t>Carpets and other floor coverings</t>
  </si>
  <si>
    <t>Repair of furniture and furnishings</t>
  </si>
  <si>
    <t>Home Textiles</t>
  </si>
  <si>
    <t>Textiles &amp; Furnishings</t>
  </si>
  <si>
    <t>Household Appliance</t>
  </si>
  <si>
    <t>Main electrical appliances</t>
  </si>
  <si>
    <t>Small electrical appliances</t>
  </si>
  <si>
    <t>Maintenance of electrical appliances</t>
  </si>
  <si>
    <t>Glassware, Tableware and Household Utensils</t>
  </si>
  <si>
    <t>Glassware and Tableware</t>
  </si>
  <si>
    <t>Tools and equipment for home and garden</t>
  </si>
  <si>
    <t>Tools and major equipment</t>
  </si>
  <si>
    <t>a variety of small tools Accessories and</t>
  </si>
  <si>
    <t>o Goods and services for regular maintenance</t>
  </si>
  <si>
    <t>Non-durable household goods</t>
  </si>
  <si>
    <t>Household services</t>
  </si>
  <si>
    <t>Medical products, appliances and equipment</t>
  </si>
  <si>
    <t>Pharmaceutical products</t>
  </si>
  <si>
    <t>Other medical products</t>
  </si>
  <si>
    <t>Therapeutic devices and equipment</t>
  </si>
  <si>
    <t>Outpatient services</t>
  </si>
  <si>
    <t>Medical services</t>
  </si>
  <si>
    <t>Dental services</t>
  </si>
  <si>
    <t>Medical Assistance Services</t>
  </si>
  <si>
    <t>Hospital services</t>
  </si>
  <si>
    <t>Cars</t>
  </si>
  <si>
    <t>Purchase of vehicles</t>
  </si>
  <si>
    <t>Motorcycles</t>
  </si>
  <si>
    <t>Bicycles</t>
  </si>
  <si>
    <t>Operation of personal transport equipment</t>
  </si>
  <si>
    <t>Spare parts</t>
  </si>
  <si>
    <t>Fuels and lubricants</t>
  </si>
  <si>
    <t>Repair and maintenance of personal transport</t>
  </si>
  <si>
    <t>Other services related to personal transport eq</t>
  </si>
  <si>
    <t>Transport Services</t>
  </si>
  <si>
    <t>Passenger transport by road</t>
  </si>
  <si>
    <t>Passenger transport by air</t>
  </si>
  <si>
    <t>Shipping and storage services of goods</t>
  </si>
  <si>
    <t>Postal Services</t>
  </si>
  <si>
    <t>Telephone and fax equipment</t>
  </si>
  <si>
    <t>Telephone and fax services</t>
  </si>
  <si>
    <t>Telephone, mobile, fax and internet services</t>
  </si>
  <si>
    <t>Audio - visual photographic &amp; information</t>
  </si>
  <si>
    <t>Photographic equipment and optical devices</t>
  </si>
  <si>
    <t>Information processing devices</t>
  </si>
  <si>
    <t>Audiovisual</t>
  </si>
  <si>
    <t>Other major durable for recreation &amp; culture</t>
  </si>
  <si>
    <t>Durable major equipment for outdoor recreatio</t>
  </si>
  <si>
    <t>Musical instruments</t>
  </si>
  <si>
    <t>Repair the entertainment and music equipmen</t>
  </si>
  <si>
    <t>Tools and other recreational equipment, garde</t>
  </si>
  <si>
    <t>Games, toys and hobbies</t>
  </si>
  <si>
    <t>Outdoor sports equipment and camping</t>
  </si>
  <si>
    <t>Gardens, Flowers &amp; Plants</t>
  </si>
  <si>
    <t>Pets</t>
  </si>
  <si>
    <t>Veterinary Services</t>
  </si>
  <si>
    <t>Recreational &amp; Culture Services</t>
  </si>
  <si>
    <t>Sports and leisure clubs Services</t>
  </si>
  <si>
    <t>Cinema and theater services</t>
  </si>
  <si>
    <t>Newspaper, Books &amp; Stationary</t>
  </si>
  <si>
    <t>Books</t>
  </si>
  <si>
    <t>Newspapers and periodicals</t>
  </si>
  <si>
    <t>Various publications</t>
  </si>
  <si>
    <t>Stationery and drawing materials</t>
  </si>
  <si>
    <t>Group holidays</t>
  </si>
  <si>
    <t>Holidays</t>
  </si>
  <si>
    <t>Pre-primary and primary education</t>
  </si>
  <si>
    <t>Equipment for recording and receiving of sound</t>
  </si>
  <si>
    <t>Repair of audio-visual equipment, imaging equipment</t>
  </si>
  <si>
    <t>High school</t>
  </si>
  <si>
    <t>high school</t>
  </si>
  <si>
    <t>Post-secondary &amp; non-higher education</t>
  </si>
  <si>
    <t>Post-secondary secondary education</t>
  </si>
  <si>
    <t>Higher Education</t>
  </si>
  <si>
    <t>Scientific commissioning services</t>
  </si>
  <si>
    <t>Non - specific education by level</t>
  </si>
  <si>
    <t>Catering services</t>
  </si>
  <si>
    <t>Restaurants, cafes ...etc</t>
  </si>
  <si>
    <t>Canteens</t>
  </si>
  <si>
    <t>Accommodation services</t>
  </si>
  <si>
    <t>Catering Services</t>
  </si>
  <si>
    <t>Personal care</t>
  </si>
  <si>
    <t>Hairdressing and personal care services</t>
  </si>
  <si>
    <t>Personal care appliances</t>
  </si>
  <si>
    <t>Other appliances, materials and personal care</t>
  </si>
  <si>
    <t>Personal effect</t>
  </si>
  <si>
    <t>Personal jewelry and accessories</t>
  </si>
  <si>
    <t>Other Personal Gear</t>
  </si>
  <si>
    <t>Insurance</t>
  </si>
  <si>
    <t>Housing insurance</t>
  </si>
  <si>
    <t>Health insurance</t>
  </si>
  <si>
    <t>Insurance of transportation</t>
  </si>
  <si>
    <t>Other insurance</t>
  </si>
  <si>
    <t>Banking services</t>
  </si>
  <si>
    <t>Direct Financial Services</t>
  </si>
  <si>
    <t>Other services</t>
  </si>
  <si>
    <t>Source</t>
  </si>
  <si>
    <t>Link</t>
  </si>
  <si>
    <t>https://alrawdacoop.net/category/10175</t>
  </si>
  <si>
    <t>جمعية الروضة وحولي التعاونية</t>
  </si>
  <si>
    <t>https://alsurracoop.net/</t>
  </si>
  <si>
    <t>جمعية السرة التعاونية</t>
  </si>
  <si>
    <t>https://www.talabat.com/kuwait/restaurants</t>
  </si>
  <si>
    <t>شركة طلبات</t>
  </si>
  <si>
    <t>Potentially for</t>
  </si>
  <si>
    <t>شركة ديليفيرو</t>
  </si>
  <si>
    <t>https://deliveroo.com.kw/en/restaurants/kuwait/surra?fulfillment_method=DELIVERY&amp;geohash=tj4nu2kc2j08</t>
  </si>
  <si>
    <t>#</t>
  </si>
  <si>
    <t>https://www.americaneagle.com.kw/en/search?q=ae+t-shirt</t>
  </si>
  <si>
    <t>Sub-Category</t>
  </si>
  <si>
    <t>Cereal</t>
  </si>
  <si>
    <t>Bread</t>
  </si>
  <si>
    <t>Fish</t>
  </si>
  <si>
    <t>Seafood</t>
  </si>
  <si>
    <t>Meat</t>
  </si>
  <si>
    <t>Paultry</t>
  </si>
  <si>
    <t>Millk</t>
  </si>
  <si>
    <t>Cheese</t>
  </si>
  <si>
    <t>Eggs</t>
  </si>
  <si>
    <t>Oil</t>
  </si>
  <si>
    <t>Fat</t>
  </si>
  <si>
    <t>Fresh Fruits</t>
  </si>
  <si>
    <t>Frozen Fruits</t>
  </si>
  <si>
    <t>Dried Fruits</t>
  </si>
  <si>
    <t>Fresh Vegetables</t>
  </si>
  <si>
    <t>Frozen Vegetables</t>
  </si>
  <si>
    <t>Dried Vegetables</t>
  </si>
  <si>
    <t>Sugar</t>
  </si>
  <si>
    <t>Sugar Products</t>
  </si>
  <si>
    <t>Other 1</t>
  </si>
  <si>
    <t>Other 2</t>
  </si>
  <si>
    <t>Premium Name</t>
  </si>
  <si>
    <t>Budget Name</t>
  </si>
  <si>
    <t>Coffee</t>
  </si>
  <si>
    <t>Cocoa</t>
  </si>
  <si>
    <t>Tea</t>
  </si>
  <si>
    <t>Mineral Water</t>
  </si>
  <si>
    <t>Soft Drinks</t>
  </si>
  <si>
    <t>كلوقز كورن فلكس اصلي 750جم</t>
  </si>
  <si>
    <t>كورن فليكس فيتابيلا متعدد الحبوب خالي غلوتين 340 جم</t>
  </si>
  <si>
    <t>خبز توست ابيض لوزين 600جم</t>
  </si>
  <si>
    <t>التوست الاصلي مدعم بفيتامين د 500جم المطاحن</t>
  </si>
  <si>
    <t>Mutton leg ( EA)</t>
  </si>
  <si>
    <t>Mutaheda Fresh Whole Chicken 1 kg</t>
  </si>
  <si>
    <t>Alyoum Fresh Whole Chicken 2 x 1 kg</t>
  </si>
  <si>
    <t>Indian Mutton Leg 1kg</t>
  </si>
  <si>
    <t>Seabass Whole Fish Turkey</t>
  </si>
  <si>
    <t>Fresh Arabian Seabass Whole Cleaned 1 kg</t>
  </si>
  <si>
    <t>Shrimp Small Kuwait</t>
  </si>
  <si>
    <t>Fresh Shrimp Medium 500 g</t>
  </si>
  <si>
    <t>KDD Long Life Full Cream Milk</t>
  </si>
  <si>
    <t>Almarai Fresh Milk Full Fat 1 Litre</t>
  </si>
  <si>
    <t>Puck Cream Cheese</t>
  </si>
  <si>
    <t>Kraft Cheddar Cheese Spread 480 g</t>
  </si>
  <si>
    <t>Al Rawdeten White Eggs Large 30pcs</t>
  </si>
  <si>
    <t>Yasmin Farms Free Range Brown Eggs</t>
  </si>
  <si>
    <t>Natureland Organic Extra Virgin Greek Olive Oil</t>
  </si>
  <si>
    <t>Consul Olive Oil 500 ml</t>
  </si>
  <si>
    <t>Almarai Unsalted Natural Butter 400 g</t>
  </si>
  <si>
    <t>Lurpak Soft Butter Unsalted 400 g</t>
  </si>
  <si>
    <t>Apple Red USA 1 kg</t>
  </si>
  <si>
    <t>Apple Green 1 kg</t>
  </si>
  <si>
    <t>Americana Frozen Strawberies</t>
  </si>
  <si>
    <t>Green Giant Frozen Strawberries</t>
  </si>
  <si>
    <t>Tomato Kuwait 1 kg</t>
  </si>
  <si>
    <t>Tomato Lebanon</t>
  </si>
  <si>
    <t>Sadia Green Peas</t>
  </si>
  <si>
    <t>Green Giant Green Peas</t>
  </si>
  <si>
    <t>Al Wazzan White Sugar</t>
  </si>
  <si>
    <t>Sultan White Sugar</t>
  </si>
  <si>
    <t>Nescafe Classic Coffee 190 g</t>
  </si>
  <si>
    <t>Nescafe Red Mug Instant Coffee 190 g</t>
  </si>
  <si>
    <t>LuLu Blended Black Tea 400 g</t>
  </si>
  <si>
    <t>Lipton Yellow Label Black Loose Tea 400 g</t>
  </si>
  <si>
    <t>Nestle Nesquik Chocolate Milk Powder 1 kg</t>
  </si>
  <si>
    <t>Tim Hortons Hot Chocolate Smooth &amp; Creamy 500 g</t>
  </si>
  <si>
    <t>Rawadatain Mineral Water 20 x 330 ml</t>
  </si>
  <si>
    <t>Aquafina Drinking Water</t>
  </si>
  <si>
    <t>RC Cola Can 250 ml</t>
  </si>
  <si>
    <t>Coca Cola Regular 250 ml</t>
  </si>
  <si>
    <t>KDD Vanilla Ice Cream 1 Litre</t>
  </si>
  <si>
    <t>Baskin Robbins Vanilla Ice Cream 1 Litre</t>
  </si>
  <si>
    <t>McVitie's Digestive Biscuits 250 g</t>
  </si>
  <si>
    <t>McVitie's Digestive Light Biscuits 250 g</t>
  </si>
  <si>
    <t>Turkey Dried Fig 500g</t>
  </si>
  <si>
    <t>Natureland Organic Dry Figs</t>
  </si>
  <si>
    <t>Al Rifai Broccoli Chips 190 g</t>
  </si>
  <si>
    <t>Majdi Dry Lemon Whole 200 g</t>
  </si>
  <si>
    <t>Almarai Natural Honey 500 g</t>
  </si>
  <si>
    <t>Langnese Golden Clear Pure Bee Honey 500 g</t>
  </si>
  <si>
    <t>Covered</t>
  </si>
  <si>
    <t>Not Covered Yet</t>
  </si>
  <si>
    <t>Key</t>
  </si>
  <si>
    <t>Av. Cat</t>
  </si>
  <si>
    <t>Av. Subcat</t>
  </si>
  <si>
    <t>Example</t>
  </si>
  <si>
    <t>Shirt</t>
  </si>
  <si>
    <t>Pants</t>
  </si>
  <si>
    <t>Shoes</t>
  </si>
  <si>
    <t>Ami de Coeur Classic Shirt</t>
  </si>
  <si>
    <t>Men’s stonewashed-effect black jeans</t>
  </si>
  <si>
    <t>White Slim Fit Easy Care Long Sleeve Single Cuff Smart Shirt20Pack-,KWD14.500,-Product%20Code%3A</t>
  </si>
  <si>
    <t>Abercrombie &amp; Fitch Loose 100% Cotton Denim Shorts</t>
  </si>
  <si>
    <t>ON Running</t>
  </si>
  <si>
    <t>T-Marathon sneakers</t>
  </si>
  <si>
    <t>Chesterfield Blue Pack Cigarettes 20's</t>
  </si>
  <si>
    <t>Davidoff Classic Full Flavour Cigarettes 20's</t>
  </si>
  <si>
    <t xml:space="preserve">Furniture </t>
  </si>
  <si>
    <t>Alaska Big U-Shape Modular Sofa with Console Beige</t>
  </si>
  <si>
    <t>Drew 6 Seater Sofa with Right Chaise Lounge Light Grey</t>
  </si>
  <si>
    <t>Naturehike High Power Folding Gas Stove - Silver</t>
  </si>
  <si>
    <t>BOSCH Series 2 Built-In Gas Hob</t>
  </si>
  <si>
    <t>Panadol Advance 48 Tabs</t>
  </si>
  <si>
    <t>Panadrex Pure 500 mg 48 Tabs</t>
  </si>
  <si>
    <t>Skid Fusion Bicycle 26"</t>
  </si>
  <si>
    <t>Diou Bicycle 27.5"</t>
  </si>
  <si>
    <t>FALKEN WPHT01 Tubeless Tire</t>
  </si>
  <si>
    <t>FALKEN FK520L Performance Tubeless Tire</t>
  </si>
  <si>
    <t>Panasonic: Digital Corded/Cordless Phone</t>
  </si>
  <si>
    <t>Panasonic Integrated Corded Telephone</t>
  </si>
  <si>
    <t>Canon PowerShot V1 Digital Camera</t>
  </si>
  <si>
    <t>Sony Alpha a7S III Mirrorless Digital Camera</t>
  </si>
  <si>
    <t>Yamaha Musical Keyboard 61 Keys</t>
  </si>
  <si>
    <t>Yamaha CLP-735 Clavinova Digital Piano</t>
  </si>
  <si>
    <t>Play-Doh Kitchen Creations Magical Mixer Playset</t>
  </si>
  <si>
    <t>Nerf Roblox Super Soaker Sharkbite Water Blaster</t>
  </si>
  <si>
    <t>Mais Buffet for 30 Persons</t>
  </si>
  <si>
    <t>Customizable Buffet for 15 Persons</t>
  </si>
  <si>
    <t>UNABLE TO FIND EXAMPLES ONLINE</t>
  </si>
  <si>
    <t>Rosana 8+1 Dining Set </t>
  </si>
  <si>
    <t>Aline 8+1 Dining Set</t>
  </si>
  <si>
    <t>Nivea Body Lotion for Dry Skin Cocoa Butter 400 ml</t>
  </si>
  <si>
    <t>Calm Body Butter 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</si>
</sst>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KWD]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2" fillId="2" borderId="0" xfId="0" applyFont="1" applyFill="1"/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/>
    <xf numFmtId="0" fontId="4" fillId="0" borderId="0" xfId="1"/>
    <xf numFmtId="0" fontId="0" fillId="5" borderId="0" xfId="0" applyFill="1"/>
    <xf numFmtId="0" fontId="5" fillId="4" borderId="0" xfId="0" applyFont="1" applyFill="1"/>
    <xf numFmtId="0" fontId="2" fillId="4" borderId="0" xfId="0" applyFont="1" applyFill="1" applyAlignment="1"/>
    <xf numFmtId="0" fontId="2" fillId="0" borderId="0" xfId="0" applyFont="1" applyFill="1" applyAlignment="1"/>
    <xf numFmtId="0" fontId="2" fillId="0" borderId="0" xfId="0" applyFont="1" applyFill="1"/>
    <xf numFmtId="0" fontId="0" fillId="0" borderId="0" xfId="0" applyFill="1"/>
    <xf numFmtId="0" fontId="2" fillId="5" borderId="0" xfId="0" applyFont="1" applyFill="1"/>
    <xf numFmtId="0" fontId="4" fillId="0" borderId="0" xfId="1" applyAlignment="1">
      <alignment vertical="center" wrapText="1"/>
    </xf>
    <xf numFmtId="0" fontId="0" fillId="6" borderId="0" xfId="0" applyFill="1"/>
    <xf numFmtId="0" fontId="0" fillId="6" borderId="0" xfId="0" applyFont="1" applyFill="1"/>
    <xf numFmtId="0" fontId="0" fillId="6" borderId="1" xfId="0" applyFill="1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14" fontId="0" fillId="0" borderId="0" xfId="0" applyNumberFormat="1"/>
    <xf numFmtId="0" fontId="0" fillId="2" borderId="0" xfId="0" applyFill="1"/>
    <xf numFmtId="164" fontId="0" fillId="0" borderId="0" xfId="0" applyNumberFormat="1"/>
    <xf numFmtId="0" fontId="2" fillId="0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Fill="1" applyBorder="1" applyAlignment="1"/>
    <xf numFmtId="0" fontId="4" fillId="0" borderId="0" xfId="1" applyFill="1" applyBorder="1"/>
    <xf numFmtId="0" fontId="2" fillId="0" borderId="0" xfId="0" applyFont="1" applyFill="1" applyAlignment="1">
      <alignment horizontal="center" wrapText="1"/>
    </xf>
    <xf numFmtId="0" fontId="4" fillId="0" borderId="0" xfId="1" applyFill="1"/>
    <xf numFmtId="0" fontId="2" fillId="4" borderId="0" xfId="0" applyFont="1" applyFill="1" applyAlignment="1">
      <alignment wrapText="1"/>
    </xf>
    <xf numFmtId="0" fontId="0" fillId="0" borderId="0" xfId="0"/>
    <xf numFmtId="0" fontId="2" fillId="2" borderId="0" xfId="0" applyFont="1" applyFill="1"/>
    <xf numFmtId="0" fontId="2" fillId="4" borderId="0" xfId="0" applyFont="1" applyFill="1"/>
    <xf numFmtId="0" fontId="4" fillId="0" borderId="0" xfId="1"/>
    <xf numFmtId="0" fontId="5" fillId="4" borderId="0" xfId="0" applyFont="1" applyFill="1"/>
    <xf numFmtId="0" fontId="2" fillId="4" borderId="0" xfId="0" applyFont="1" applyFill="1" applyAlignment="1"/>
    <xf numFmtId="0" fontId="2" fillId="0" borderId="0" xfId="0" applyFont="1" applyFill="1" applyAlignment="1"/>
    <xf numFmtId="0" fontId="2" fillId="0" borderId="0" xfId="0" applyFont="1" applyFill="1"/>
    <xf numFmtId="0" fontId="0" fillId="0" borderId="0" xfId="0" applyFill="1"/>
    <xf numFmtId="0" fontId="2" fillId="5" borderId="0" xfId="0" applyFont="1" applyFill="1"/>
    <xf numFmtId="0" fontId="2" fillId="0" borderId="0" xfId="0" applyFont="1" applyFill="1" applyAlignment="1">
      <alignment horizontal="center"/>
    </xf>
    <xf numFmtId="0" fontId="4" fillId="0" borderId="0" xfId="1" applyFill="1"/>
    <xf numFmtId="0" fontId="2" fillId="4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5" fillId="0" borderId="0" xfId="0" applyFont="1" applyFill="1" applyAlignment="1">
      <alignment wrapText="1"/>
    </xf>
    <xf numFmtId="14" fontId="0" fillId="0" borderId="0" xfId="0" applyNumberFormat="1" applyFill="1"/>
    <xf numFmtId="164" fontId="0" fillId="0" borderId="0" xfId="0" applyNumberFormat="1" applyFill="1"/>
    <xf numFmtId="0" fontId="0" fillId="0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638174</xdr:colOff>
      <xdr:row>13</xdr:row>
      <xdr:rowOff>9525</xdr:rowOff>
    </xdr:from>
    <xdr:to>
      <xdr:col>10</xdr:col>
      <xdr:colOff>266699</xdr:colOff>
      <xdr:row>20</xdr:row>
      <xdr:rowOff>47625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24963DEE-5643-46D1-94A1-96DD9DF3D085}"/>
            </a:ext>
          </a:extLst>
        </xdr:cNvPr>
        <xdr:cNvSpPr/>
      </xdr:nvSpPr>
      <xdr:spPr>
        <a:xfrm flipH="1" flipV="1">
          <a:off x="11344274" y="2505075"/>
          <a:ext cx="1038225" cy="1371600"/>
        </a:xfrm>
        <a:prstGeom prst="ben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638173</xdr:colOff>
      <xdr:row>0</xdr:row>
      <xdr:rowOff>133349</xdr:rowOff>
    </xdr:from>
    <xdr:to>
      <xdr:col>10</xdr:col>
      <xdr:colOff>266698</xdr:colOff>
      <xdr:row>8</xdr:row>
      <xdr:rowOff>180974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2F60FDDD-5B5C-4887-B75A-6E73C655AFA2}"/>
            </a:ext>
          </a:extLst>
        </xdr:cNvPr>
        <xdr:cNvSpPr/>
      </xdr:nvSpPr>
      <xdr:spPr>
        <a:xfrm flipH="1">
          <a:off x="11344273" y="133349"/>
          <a:ext cx="1038225" cy="1571625"/>
        </a:xfrm>
        <a:prstGeom prst="ben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ultan-center.com/product/kdd-full-cream-milk-1liter" TargetMode="External"/><Relationship Id="rId18" Type="http://schemas.openxmlformats.org/officeDocument/2006/relationships/hyperlink" Target="https://www.sultan-center.com/product/yasmin-farms-free-range-brown-eggs-30-pieces" TargetMode="External"/><Relationship Id="rId26" Type="http://schemas.openxmlformats.org/officeDocument/2006/relationships/hyperlink" Target="https://www.sultan-center.com/product/green-giant-frozen-strawberries-400-gm" TargetMode="External"/><Relationship Id="rId39" Type="http://schemas.openxmlformats.org/officeDocument/2006/relationships/hyperlink" Target="https://gcc.luluhypermarket.com/en-kw/p/470723-ea/?convtobuom=20" TargetMode="External"/><Relationship Id="rId21" Type="http://schemas.openxmlformats.org/officeDocument/2006/relationships/hyperlink" Target="https://gcc.luluhypermarket.com/en-kw/almarai-unsalted-natural-butter-400-g/p/1007808/" TargetMode="External"/><Relationship Id="rId34" Type="http://schemas.openxmlformats.org/officeDocument/2006/relationships/hyperlink" Target="https://gcc.luluhypermarket.com/en-kw/nescafe-red-mug-instant-coffee-190-g/p/2001380/" TargetMode="External"/><Relationship Id="rId42" Type="http://schemas.openxmlformats.org/officeDocument/2006/relationships/hyperlink" Target="https://gcc.luluhypermarket.com/en-kw/coca-cola-regular-250-ml/p/399837-ea/?convtobuom=1" TargetMode="External"/><Relationship Id="rId47" Type="http://schemas.openxmlformats.org/officeDocument/2006/relationships/hyperlink" Target="https://gcc.luluhypermarket.com/en-kw/p/334456-ea/?convtobuom=500" TargetMode="External"/><Relationship Id="rId50" Type="http://schemas.openxmlformats.org/officeDocument/2006/relationships/hyperlink" Target="https://gcc.luluhypermarket.com/en-kw/majdi-dry-lemon-whole-200-g/p/307007/" TargetMode="External"/><Relationship Id="rId7" Type="http://schemas.openxmlformats.org/officeDocument/2006/relationships/hyperlink" Target="https://gcc.luluhypermarket.com/en-kw/p/444486-ea/?convtobuom=1000" TargetMode="External"/><Relationship Id="rId2" Type="http://schemas.openxmlformats.org/officeDocument/2006/relationships/hyperlink" Target="https://alrawdacoop.net/product/7850" TargetMode="External"/><Relationship Id="rId16" Type="http://schemas.openxmlformats.org/officeDocument/2006/relationships/hyperlink" Target="https://gcc.luluhypermarket.com/en-kw/kraft-cheddar-cheese-spread-480-g/p/1408777/" TargetMode="External"/><Relationship Id="rId29" Type="http://schemas.openxmlformats.org/officeDocument/2006/relationships/hyperlink" Target="https://www.sultan-center.com/product/sadia-green-peas-900-gm" TargetMode="External"/><Relationship Id="rId11" Type="http://schemas.openxmlformats.org/officeDocument/2006/relationships/hyperlink" Target="https://www.sultan-center.com/product/shrimp-small-kuwait-500-gm" TargetMode="External"/><Relationship Id="rId24" Type="http://schemas.openxmlformats.org/officeDocument/2006/relationships/hyperlink" Target="https://gcc.luluhypermarket.com/en-kw/apple-green-1-kg/p/637371/" TargetMode="External"/><Relationship Id="rId32" Type="http://schemas.openxmlformats.org/officeDocument/2006/relationships/hyperlink" Target="https://www.sultan-center.com/product/sultan-fine-sugar-5kg" TargetMode="External"/><Relationship Id="rId37" Type="http://schemas.openxmlformats.org/officeDocument/2006/relationships/hyperlink" Target="https://gcc.luluhypermarket.com/en-kw/nestle-nesquik-chocolate-milk-powder-1-kg/p/953/" TargetMode="External"/><Relationship Id="rId40" Type="http://schemas.openxmlformats.org/officeDocument/2006/relationships/hyperlink" Target="https://www.sultan-center.com/product/aquafina-bottled-drinking-water-20-pieces" TargetMode="External"/><Relationship Id="rId45" Type="http://schemas.openxmlformats.org/officeDocument/2006/relationships/hyperlink" Target="https://gcc.luluhypermarket.com/en-kw/mcvities-digestive-biscuits-250-g/p/1203/" TargetMode="External"/><Relationship Id="rId53" Type="http://schemas.openxmlformats.org/officeDocument/2006/relationships/printerSettings" Target="../printerSettings/printerSettings2.bin"/><Relationship Id="rId5" Type="http://schemas.openxmlformats.org/officeDocument/2006/relationships/hyperlink" Target="https://almawashistore.com/Product/MeatItem/154" TargetMode="External"/><Relationship Id="rId10" Type="http://schemas.openxmlformats.org/officeDocument/2006/relationships/hyperlink" Target="https://gcc.luluhypermarket.com/en-kw/fresh-arabian-seabass-whole-cleaned-1-kg/p/1292328-ea/?convtobuom=1000" TargetMode="External"/><Relationship Id="rId19" Type="http://schemas.openxmlformats.org/officeDocument/2006/relationships/hyperlink" Target="https://www.sultan-center.com/product/natureland-organic-extra-virgin-greek-olive-oil-500ml" TargetMode="External"/><Relationship Id="rId31" Type="http://schemas.openxmlformats.org/officeDocument/2006/relationships/hyperlink" Target="https://www.sultan-center.com/product/al-wazzan-white-sugar-5-kg" TargetMode="External"/><Relationship Id="rId44" Type="http://schemas.openxmlformats.org/officeDocument/2006/relationships/hyperlink" Target="https://gcc.luluhypermarket.com/en-kw/baskin-robbins-vanilla-ice-cream-1-litre/p/187454/" TargetMode="External"/><Relationship Id="rId52" Type="http://schemas.openxmlformats.org/officeDocument/2006/relationships/hyperlink" Target="https://gcc.luluhypermarket.com/en-kw/langnese-golden-clear-pure-bee-honey-500-g/p/22673/" TargetMode="External"/><Relationship Id="rId4" Type="http://schemas.openxmlformats.org/officeDocument/2006/relationships/hyperlink" Target="https://alrawdacoop.net/product/1024" TargetMode="External"/><Relationship Id="rId9" Type="http://schemas.openxmlformats.org/officeDocument/2006/relationships/hyperlink" Target="https://www.sultan-center.com/product/seabass-whole-fish-turkey-per-kg301678173" TargetMode="External"/><Relationship Id="rId14" Type="http://schemas.openxmlformats.org/officeDocument/2006/relationships/hyperlink" Target="https://gcc.luluhypermarket.com/en-kw/almarai-fresh-milk-full-fat-1-litre/p/7549/" TargetMode="External"/><Relationship Id="rId22" Type="http://schemas.openxmlformats.org/officeDocument/2006/relationships/hyperlink" Target="https://gcc.luluhypermarket.com/en-kw/lurpak-soft-butter-unsalted-400-g/p/1675485/" TargetMode="External"/><Relationship Id="rId27" Type="http://schemas.openxmlformats.org/officeDocument/2006/relationships/hyperlink" Target="https://gcc.luluhypermarket.com/en-kw/p/1751765-ea/?convtobuom=1000" TargetMode="External"/><Relationship Id="rId30" Type="http://schemas.openxmlformats.org/officeDocument/2006/relationships/hyperlink" Target="https://www.sultan-center.com/product/green-giant-green-peas-900-g" TargetMode="External"/><Relationship Id="rId35" Type="http://schemas.openxmlformats.org/officeDocument/2006/relationships/hyperlink" Target="https://gcc.luluhypermarket.com/en-kw/lulu-blended-black-tea-400-g/p/1422998/" TargetMode="External"/><Relationship Id="rId43" Type="http://schemas.openxmlformats.org/officeDocument/2006/relationships/hyperlink" Target="https://gcc.luluhypermarket.com/en-kw/kdd-vanilla-ice-cream-1-litre/p/424071/" TargetMode="External"/><Relationship Id="rId48" Type="http://schemas.openxmlformats.org/officeDocument/2006/relationships/hyperlink" Target="https://www.sultan-center.com/product/natureland-organic-dry-figs-250g" TargetMode="External"/><Relationship Id="rId8" Type="http://schemas.openxmlformats.org/officeDocument/2006/relationships/hyperlink" Target="https://gcc.luluhypermarket.com/en-kw/indian-mutton-leg-1kg/p/41553-ea/?convtobuom=1000" TargetMode="External"/><Relationship Id="rId51" Type="http://schemas.openxmlformats.org/officeDocument/2006/relationships/hyperlink" Target="https://gcc.luluhypermarket.com/en-kw/almarai-natural-honey-500-g/p/1809787/" TargetMode="External"/><Relationship Id="rId3" Type="http://schemas.openxmlformats.org/officeDocument/2006/relationships/hyperlink" Target="https://alrawdacoop.net/product/5783" TargetMode="External"/><Relationship Id="rId12" Type="http://schemas.openxmlformats.org/officeDocument/2006/relationships/hyperlink" Target="https://gcc.luluhypermarket.com/en-kw/p/101165-ea/?convtobuom=500" TargetMode="External"/><Relationship Id="rId17" Type="http://schemas.openxmlformats.org/officeDocument/2006/relationships/hyperlink" Target="https://gcc.luluhypermarket.com/en-kw/al-rawdeten-white-eggs-large-30pcs/p/1698705/" TargetMode="External"/><Relationship Id="rId25" Type="http://schemas.openxmlformats.org/officeDocument/2006/relationships/hyperlink" Target="https://www.sultan-center.com/product/americana-frozen-strawberies-400g" TargetMode="External"/><Relationship Id="rId33" Type="http://schemas.openxmlformats.org/officeDocument/2006/relationships/hyperlink" Target="https://gcc.luluhypermarket.com/en-kw/nescafe-classic-coffee-190-g/p/1928430/" TargetMode="External"/><Relationship Id="rId38" Type="http://schemas.openxmlformats.org/officeDocument/2006/relationships/hyperlink" Target="https://gcc.luluhypermarket.com/en-kw/tim-hortons-hot-chocolate-smooth-creamy-500-g/p/2189567/" TargetMode="External"/><Relationship Id="rId46" Type="http://schemas.openxmlformats.org/officeDocument/2006/relationships/hyperlink" Target="https://gcc.luluhypermarket.com/en-kw/mcvities-digestive-light-biscuits-250-g/p/1212/" TargetMode="External"/><Relationship Id="rId20" Type="http://schemas.openxmlformats.org/officeDocument/2006/relationships/hyperlink" Target="https://gcc.luluhypermarket.com/en-kw/consul-olive-oil-500-ml/p/1128228/" TargetMode="External"/><Relationship Id="rId41" Type="http://schemas.openxmlformats.org/officeDocument/2006/relationships/hyperlink" Target="https://gcc.luluhypermarket.com/en-kw/p/428663-ea/?convtobuom=1" TargetMode="External"/><Relationship Id="rId1" Type="http://schemas.openxmlformats.org/officeDocument/2006/relationships/hyperlink" Target="https://alrawdacoop.net/product/7584" TargetMode="External"/><Relationship Id="rId6" Type="http://schemas.openxmlformats.org/officeDocument/2006/relationships/hyperlink" Target="https://gcc.luluhypermarket.com/en-kw/alyoum-fresh-whole-chicken-2-1-kg/p/832836/" TargetMode="External"/><Relationship Id="rId15" Type="http://schemas.openxmlformats.org/officeDocument/2006/relationships/hyperlink" Target="https://www.sultan-center.com/product/puck-cream-cheese-500-gm-1" TargetMode="External"/><Relationship Id="rId23" Type="http://schemas.openxmlformats.org/officeDocument/2006/relationships/hyperlink" Target="https://gcc.luluhypermarket.com/en-kw/p/19047-ea/?convtobuom=1000" TargetMode="External"/><Relationship Id="rId28" Type="http://schemas.openxmlformats.org/officeDocument/2006/relationships/hyperlink" Target="https://www.sultan-center.com/product/tomato-lebanon" TargetMode="External"/><Relationship Id="rId36" Type="http://schemas.openxmlformats.org/officeDocument/2006/relationships/hyperlink" Target="https://gcc.luluhypermarket.com/en-kw/lipton-yellow-label-black-loose-tea-400-g/p/791545/" TargetMode="External"/><Relationship Id="rId49" Type="http://schemas.openxmlformats.org/officeDocument/2006/relationships/hyperlink" Target="https://gcc.luluhypermarket.com/en-kw/al-rifai-broccoli-chips-190-g/p/2360082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cchyper.com/categories/107548/products?catalogProduct=6402241" TargetMode="External"/><Relationship Id="rId1" Type="http://schemas.openxmlformats.org/officeDocument/2006/relationships/hyperlink" Target="https://www.cchyper.com/categories/107548/products?catalogProduct=640222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arveynichols.com.kw/en/buy-men-s-stonewashed-effect-black-jeans-black-0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s://www.harveynichols.com.kw/en/buy-ami-de-coeur-classic-shirt-blue" TargetMode="External"/><Relationship Id="rId1" Type="http://schemas.openxmlformats.org/officeDocument/2006/relationships/hyperlink" Target="https://www.nextdirect.com/kw/en/style/su707270/h18724" TargetMode="External"/><Relationship Id="rId6" Type="http://schemas.openxmlformats.org/officeDocument/2006/relationships/hyperlink" Target="https://en-kuwait.levelshoes.com/tod-s-t-marathon-sneakers-beige-suede-women-low-tops-2qww6n.html" TargetMode="External"/><Relationship Id="rId5" Type="http://schemas.openxmlformats.org/officeDocument/2006/relationships/hyperlink" Target="https://www.harveynichols.com.kw/en/buy-cloud-sky-grey-0" TargetMode="External"/><Relationship Id="rId4" Type="http://schemas.openxmlformats.org/officeDocument/2006/relationships/hyperlink" Target="https://www.nextdirect.com/kw/en/style/su394842/e88531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xcite.com/naturehike-high-power-folding-gas-stove-silver/p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https://www.safathome.com/drew-6-seater-right-chaise-sofa-light-grey/p" TargetMode="External"/><Relationship Id="rId1" Type="http://schemas.openxmlformats.org/officeDocument/2006/relationships/hyperlink" Target="https://www.safathome.com/alaska-big-u-shape-modular-sofa-with-console-beige-1/p" TargetMode="External"/><Relationship Id="rId6" Type="http://schemas.openxmlformats.org/officeDocument/2006/relationships/hyperlink" Target="https://www.safathome.com/1-aline-1-8-dining-set-alina/p" TargetMode="External"/><Relationship Id="rId5" Type="http://schemas.openxmlformats.org/officeDocument/2006/relationships/hyperlink" Target="https://www.safathome.com/rosana-8-1-dining-set-concrete-grey-1/p" TargetMode="External"/><Relationship Id="rId4" Type="http://schemas.openxmlformats.org/officeDocument/2006/relationships/hyperlink" Target="https://www.xcite.com/bosch-series-2-gas-hob-60-cm-pop6c6o12m-black/p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www.almutawaph.com.kw/catalog/product/view/id/107725/category/6082" TargetMode="External"/><Relationship Id="rId1" Type="http://schemas.openxmlformats.org/officeDocument/2006/relationships/hyperlink" Target="https://www.almutawaph.com.kw/catalog/product/view/id/105836/category/6082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etgayar.com/en/shop/product/FALKEN-WPHT01-Tubeless-Tire-275-70-R16-58801" TargetMode="External"/><Relationship Id="rId2" Type="http://schemas.openxmlformats.org/officeDocument/2006/relationships/hyperlink" Target="https://gcc.luluhypermarket.com/en-kw/diou-bicycle-27-5-do-19-mo3a-assorted/p/1726812/" TargetMode="External"/><Relationship Id="rId1" Type="http://schemas.openxmlformats.org/officeDocument/2006/relationships/hyperlink" Target="https://gcc.luluhypermarket.com/en-kw/skid-fusion-bicycle-26-7s-235t-m2-assorted-color/p/1748673/" TargetMode="Externa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https://www.getgayar.com/en/shop/product/FALKEN-FK520L-Performance-Tubeless-Tire-295-35-R21-58841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best.com.kw/en/product/KX-TS500FXW/Panasonic-Integrated-Corded-Telephone--White" TargetMode="External"/><Relationship Id="rId1" Type="http://schemas.openxmlformats.org/officeDocument/2006/relationships/hyperlink" Target="https://best.com.kw/en/p/KX-TGF310UEM?utm_campaign=22370763011&amp;utm_source=x_c&amp;utm_medium=cpc&amp;utm_content=&amp;utm_term=_&amp;adgroupid=&amp;gad_source=1&amp;gad_campaignid=22783431538&amp;gbraid=0AAAAADqRbZvIx7cQi06246mqxb99s_YXV&amp;gclid=EAIaIQobChMIs-TTub7skgMVVXtBAh2_pCbZEAQYBiABEgJym_D_BwE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xcite.com/yamaha-musical-keyboard-61-keys-psr-a350/p" TargetMode="External"/><Relationship Id="rId7" Type="http://schemas.openxmlformats.org/officeDocument/2006/relationships/printerSettings" Target="../printerSettings/printerSettings10.bin"/><Relationship Id="rId2" Type="http://schemas.openxmlformats.org/officeDocument/2006/relationships/hyperlink" Target="https://www.xcite.com/sony-alpha-a7s-iii-mirrorless-digital-camera-fe-24-70mm-f-2-8-gm-e-mount-lens/p" TargetMode="External"/><Relationship Id="rId1" Type="http://schemas.openxmlformats.org/officeDocument/2006/relationships/hyperlink" Target="https://www.xcite.com/canon-powershot-v1-digital-camera-22-3mp-6390c001aa-black/p" TargetMode="External"/><Relationship Id="rId6" Type="http://schemas.openxmlformats.org/officeDocument/2006/relationships/hyperlink" Target="https://www.xcite.com/nerf-roblox-super-soaker-sharkbite-water-blaster-f5086-blue/p" TargetMode="External"/><Relationship Id="rId5" Type="http://schemas.openxmlformats.org/officeDocument/2006/relationships/hyperlink" Target="https://www.xcite.com/53134-f6904-1/p" TargetMode="External"/><Relationship Id="rId4" Type="http://schemas.openxmlformats.org/officeDocument/2006/relationships/hyperlink" Target="https://www.xcite.com/yamaha-clp-735-clavinova-digital-piano-black/p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https://order.maiscatering.com/product/buffets/customizable-buffet-for-15-persons" TargetMode="External"/><Relationship Id="rId1" Type="http://schemas.openxmlformats.org/officeDocument/2006/relationships/hyperlink" Target="https://order.maiscatering.com/product/buffets/mais-buffet-for-30-persons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www.marksandspencerme.com/en-kw/l/calm-body-butter-200ml/p/60532221?gad_source=1&amp;gad_campaignid=21741332611&amp;gbraid=0AAAAADSBvN11lQ60Ky9NAe5kDFmAbqsmb&amp;gclid=EAIaIQobChMImbrw6-yFkwMVZKODBx2G7Aw_EAQYAiABEgJQkPD_BwE" TargetMode="External"/><Relationship Id="rId1" Type="http://schemas.openxmlformats.org/officeDocument/2006/relationships/hyperlink" Target="https://gcc.luluhypermarket.com/en-kw/nivea-body-lotion-for-dry-skin-cocoa-butter-400-ml/p/960954/" TargetMode="External"/><Relationship Id="rId4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7A37-847A-40E2-95A0-58BD544B1A1C}">
  <sheetPr>
    <pageSetUpPr autoPageBreaks="0"/>
  </sheetPr>
  <dimension ref="A1:L34"/>
  <sheetViews>
    <sheetView topLeftCell="G1" workbookViewId="0">
      <pane ySplit="1" topLeftCell="A2" activePane="bottomLeft" state="frozen"/>
      <selection activeCell="G1" sqref="G1"/>
      <selection pane="bottomLeft" activeCell="G26" sqref="G26"/>
    </sheetView>
  </sheetViews>
  <sheetFormatPr defaultRowHeight="15" x14ac:dyDescent="0.25"/>
  <cols>
    <col min="1" max="1" width="32.28515625" bestFit="1" customWidth="1"/>
    <col min="2" max="2" width="20.85546875" bestFit="1" customWidth="1"/>
    <col min="3" max="3" width="36.140625" bestFit="1" customWidth="1"/>
    <col min="4" max="4" width="40.28515625" bestFit="1" customWidth="1"/>
    <col min="5" max="5" width="44.85546875" bestFit="1" customWidth="1"/>
    <col min="6" max="6" width="41.7109375" bestFit="1" customWidth="1"/>
    <col min="7" max="7" width="43.42578125" bestFit="1" customWidth="1"/>
    <col min="8" max="8" width="41.5703125" bestFit="1" customWidth="1"/>
    <col min="9" max="9" width="50.140625" bestFit="1" customWidth="1"/>
    <col min="10" max="10" width="37" bestFit="1" customWidth="1"/>
    <col min="11" max="11" width="23.42578125" bestFit="1" customWidth="1"/>
    <col min="12" max="12" width="42.42578125" bestFit="1" customWidth="1"/>
  </cols>
  <sheetData>
    <row r="1" spans="1:12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s="2" t="s">
        <v>12</v>
      </c>
      <c r="B2" s="2" t="s">
        <v>25</v>
      </c>
      <c r="C2" s="2" t="s">
        <v>26</v>
      </c>
      <c r="D2" s="2" t="s">
        <v>34</v>
      </c>
      <c r="E2" s="2" t="s">
        <v>46</v>
      </c>
      <c r="F2" s="2" t="s">
        <v>64</v>
      </c>
      <c r="G2" s="2" t="s">
        <v>74</v>
      </c>
      <c r="H2" s="2" t="s">
        <v>86</v>
      </c>
      <c r="I2" s="2" t="s">
        <v>90</v>
      </c>
      <c r="J2" s="2" t="s">
        <v>114</v>
      </c>
      <c r="K2" s="2" t="s">
        <v>124</v>
      </c>
      <c r="L2" s="2" t="s">
        <v>129</v>
      </c>
    </row>
    <row r="3" spans="1:12" x14ac:dyDescent="0.25">
      <c r="A3" s="16" t="s">
        <v>13</v>
      </c>
      <c r="B3" t="s">
        <v>25</v>
      </c>
      <c r="C3" t="s">
        <v>27</v>
      </c>
      <c r="D3" t="s">
        <v>35</v>
      </c>
      <c r="E3" t="s">
        <v>47</v>
      </c>
      <c r="F3" t="s">
        <v>65</v>
      </c>
      <c r="G3" t="s">
        <v>73</v>
      </c>
      <c r="H3" t="s">
        <v>86</v>
      </c>
      <c r="I3" t="s">
        <v>115</v>
      </c>
      <c r="J3" t="s">
        <v>114</v>
      </c>
      <c r="K3" t="s">
        <v>125</v>
      </c>
      <c r="L3" t="s">
        <v>130</v>
      </c>
    </row>
    <row r="4" spans="1:12" x14ac:dyDescent="0.25">
      <c r="A4" s="17" t="s">
        <v>14</v>
      </c>
      <c r="C4" t="s">
        <v>28</v>
      </c>
      <c r="D4" s="2" t="s">
        <v>36</v>
      </c>
      <c r="E4" t="s">
        <v>48</v>
      </c>
      <c r="F4" t="s">
        <v>66</v>
      </c>
      <c r="G4" t="s">
        <v>75</v>
      </c>
      <c r="H4" s="2" t="s">
        <v>87</v>
      </c>
      <c r="I4" t="s">
        <v>91</v>
      </c>
      <c r="J4" s="2" t="s">
        <v>117</v>
      </c>
      <c r="K4" t="s">
        <v>126</v>
      </c>
      <c r="L4" t="s">
        <v>131</v>
      </c>
    </row>
    <row r="5" spans="1:12" x14ac:dyDescent="0.25">
      <c r="A5" s="17" t="s">
        <v>15</v>
      </c>
      <c r="C5" t="s">
        <v>29</v>
      </c>
      <c r="D5" t="s">
        <v>37</v>
      </c>
      <c r="E5" t="s">
        <v>49</v>
      </c>
      <c r="F5" t="s">
        <v>67</v>
      </c>
      <c r="G5" t="s">
        <v>76</v>
      </c>
      <c r="H5" t="s">
        <v>87</v>
      </c>
      <c r="I5" t="s">
        <v>92</v>
      </c>
      <c r="J5" t="s">
        <v>118</v>
      </c>
      <c r="K5" s="2" t="s">
        <v>127</v>
      </c>
      <c r="L5" t="s">
        <v>132</v>
      </c>
    </row>
    <row r="6" spans="1:12" x14ac:dyDescent="0.25">
      <c r="A6" s="16" t="s">
        <v>16</v>
      </c>
      <c r="C6" t="s">
        <v>30</v>
      </c>
      <c r="D6" t="s">
        <v>38</v>
      </c>
      <c r="E6" s="2" t="s">
        <v>50</v>
      </c>
      <c r="F6" s="2" t="s">
        <v>68</v>
      </c>
      <c r="G6" s="2" t="s">
        <v>77</v>
      </c>
      <c r="H6" s="2" t="s">
        <v>88</v>
      </c>
      <c r="I6" t="s">
        <v>93</v>
      </c>
      <c r="J6" s="2" t="s">
        <v>119</v>
      </c>
      <c r="K6" t="s">
        <v>128</v>
      </c>
      <c r="L6" s="2" t="s">
        <v>133</v>
      </c>
    </row>
    <row r="7" spans="1:12" x14ac:dyDescent="0.25">
      <c r="A7" s="16" t="s">
        <v>17</v>
      </c>
      <c r="C7" s="2" t="s">
        <v>31</v>
      </c>
      <c r="D7" s="2" t="s">
        <v>39</v>
      </c>
      <c r="E7" t="s">
        <v>51</v>
      </c>
      <c r="F7" t="s">
        <v>69</v>
      </c>
      <c r="G7" t="s">
        <v>78</v>
      </c>
      <c r="H7" t="s">
        <v>89</v>
      </c>
      <c r="I7" t="s">
        <v>116</v>
      </c>
      <c r="J7" t="s">
        <v>120</v>
      </c>
      <c r="L7" t="s">
        <v>134</v>
      </c>
    </row>
    <row r="8" spans="1:12" x14ac:dyDescent="0.25">
      <c r="A8" s="16" t="s">
        <v>18</v>
      </c>
      <c r="C8" t="s">
        <v>32</v>
      </c>
      <c r="D8" t="s">
        <v>40</v>
      </c>
      <c r="E8" s="2" t="s">
        <v>52</v>
      </c>
      <c r="F8" t="s">
        <v>70</v>
      </c>
      <c r="G8" t="s">
        <v>79</v>
      </c>
      <c r="I8" s="2" t="s">
        <v>94</v>
      </c>
      <c r="J8" s="2" t="s">
        <v>121</v>
      </c>
      <c r="L8" t="s">
        <v>135</v>
      </c>
    </row>
    <row r="9" spans="1:12" x14ac:dyDescent="0.25">
      <c r="A9" s="16" t="s">
        <v>19</v>
      </c>
      <c r="C9" t="s">
        <v>33</v>
      </c>
      <c r="D9" s="2" t="s">
        <v>41</v>
      </c>
      <c r="E9" t="s">
        <v>53</v>
      </c>
      <c r="F9" t="s">
        <v>71</v>
      </c>
      <c r="G9" t="s">
        <v>80</v>
      </c>
      <c r="I9" t="s">
        <v>95</v>
      </c>
      <c r="J9" t="s">
        <v>121</v>
      </c>
      <c r="L9" s="2" t="s">
        <v>136</v>
      </c>
    </row>
    <row r="10" spans="1:12" x14ac:dyDescent="0.25">
      <c r="A10" s="16" t="s">
        <v>20</v>
      </c>
      <c r="D10" t="s">
        <v>42</v>
      </c>
      <c r="E10" t="s">
        <v>54</v>
      </c>
      <c r="F10" s="2" t="s">
        <v>72</v>
      </c>
      <c r="G10" t="s">
        <v>81</v>
      </c>
      <c r="I10" t="s">
        <v>96</v>
      </c>
      <c r="J10" s="2" t="s">
        <v>122</v>
      </c>
      <c r="L10" t="s">
        <v>137</v>
      </c>
    </row>
    <row r="11" spans="1:12" x14ac:dyDescent="0.25">
      <c r="A11" s="16" t="s">
        <v>21</v>
      </c>
      <c r="D11" t="s">
        <v>43</v>
      </c>
      <c r="E11" t="s">
        <v>55</v>
      </c>
      <c r="F11" t="s">
        <v>72</v>
      </c>
      <c r="G11" s="2" t="s">
        <v>82</v>
      </c>
      <c r="I11" t="s">
        <v>97</v>
      </c>
      <c r="J11" t="s">
        <v>123</v>
      </c>
      <c r="L11" t="s">
        <v>138</v>
      </c>
    </row>
    <row r="12" spans="1:12" x14ac:dyDescent="0.25">
      <c r="A12" s="2" t="s">
        <v>22</v>
      </c>
      <c r="D12" t="s">
        <v>44</v>
      </c>
      <c r="E12" s="2" t="s">
        <v>56</v>
      </c>
      <c r="G12" t="s">
        <v>83</v>
      </c>
      <c r="I12" s="2" t="s">
        <v>98</v>
      </c>
      <c r="L12" t="s">
        <v>139</v>
      </c>
    </row>
    <row r="13" spans="1:12" x14ac:dyDescent="0.25">
      <c r="A13" s="16" t="s">
        <v>23</v>
      </c>
      <c r="D13" t="s">
        <v>45</v>
      </c>
      <c r="E13" t="s">
        <v>57</v>
      </c>
      <c r="G13" t="s">
        <v>84</v>
      </c>
      <c r="I13" t="s">
        <v>99</v>
      </c>
      <c r="L13" t="s">
        <v>140</v>
      </c>
    </row>
    <row r="14" spans="1:12" x14ac:dyDescent="0.25">
      <c r="A14" s="16" t="s">
        <v>24</v>
      </c>
      <c r="E14" s="2" t="s">
        <v>58</v>
      </c>
      <c r="G14" t="s">
        <v>85</v>
      </c>
      <c r="I14" t="s">
        <v>100</v>
      </c>
      <c r="L14" s="2" t="s">
        <v>141</v>
      </c>
    </row>
    <row r="15" spans="1:12" x14ac:dyDescent="0.25">
      <c r="E15" t="s">
        <v>59</v>
      </c>
      <c r="I15" t="s">
        <v>101</v>
      </c>
      <c r="L15" t="s">
        <v>142</v>
      </c>
    </row>
    <row r="16" spans="1:12" x14ac:dyDescent="0.25">
      <c r="E16" t="s">
        <v>60</v>
      </c>
      <c r="I16" t="s">
        <v>102</v>
      </c>
      <c r="L16" s="2" t="s">
        <v>143</v>
      </c>
    </row>
    <row r="17" spans="1:12" x14ac:dyDescent="0.25">
      <c r="E17" s="2" t="s">
        <v>61</v>
      </c>
      <c r="I17" t="s">
        <v>103</v>
      </c>
      <c r="L17" t="s">
        <v>143</v>
      </c>
    </row>
    <row r="18" spans="1:12" x14ac:dyDescent="0.25">
      <c r="E18" t="s">
        <v>62</v>
      </c>
      <c r="I18" s="2" t="s">
        <v>104</v>
      </c>
    </row>
    <row r="19" spans="1:12" x14ac:dyDescent="0.25">
      <c r="E19" t="s">
        <v>63</v>
      </c>
      <c r="I19" t="s">
        <v>105</v>
      </c>
    </row>
    <row r="20" spans="1:12" x14ac:dyDescent="0.25">
      <c r="I20" t="s">
        <v>106</v>
      </c>
    </row>
    <row r="21" spans="1:12" x14ac:dyDescent="0.25">
      <c r="I21" s="2" t="s">
        <v>107</v>
      </c>
    </row>
    <row r="22" spans="1:12" x14ac:dyDescent="0.25">
      <c r="I22" t="s">
        <v>108</v>
      </c>
    </row>
    <row r="23" spans="1:12" x14ac:dyDescent="0.25">
      <c r="I23" t="s">
        <v>109</v>
      </c>
    </row>
    <row r="24" spans="1:12" x14ac:dyDescent="0.25">
      <c r="I24" t="s">
        <v>110</v>
      </c>
    </row>
    <row r="25" spans="1:12" x14ac:dyDescent="0.25">
      <c r="I25" t="s">
        <v>111</v>
      </c>
    </row>
    <row r="26" spans="1:12" x14ac:dyDescent="0.25">
      <c r="I26" s="2" t="s">
        <v>112</v>
      </c>
    </row>
    <row r="27" spans="1:12" x14ac:dyDescent="0.25">
      <c r="A27" t="s">
        <v>156</v>
      </c>
      <c r="I27" t="s">
        <v>113</v>
      </c>
    </row>
    <row r="32" spans="1:12" ht="15.75" thickBot="1" x14ac:dyDescent="0.3">
      <c r="A32" s="52" t="s">
        <v>240</v>
      </c>
      <c r="B32" s="52"/>
    </row>
    <row r="33" spans="1:2" x14ac:dyDescent="0.25">
      <c r="A33" s="18"/>
      <c r="B33" s="20" t="s">
        <v>238</v>
      </c>
    </row>
    <row r="34" spans="1:2" ht="15.75" thickBot="1" x14ac:dyDescent="0.3">
      <c r="A34" s="19"/>
      <c r="B34" s="21" t="s">
        <v>239</v>
      </c>
    </row>
  </sheetData>
  <mergeCells count="1">
    <mergeCell ref="A32:B32"/>
  </mergeCells>
  <pageMargins left="0.7" right="0.7" top="0.75" bottom="0.75" header="0.3" footer="0.3"/>
  <pageSetup paperSize="9" orientation="portrait" r:id="rId1"/>
  <headerFooter>
    <oddFooter>&amp;C&amp;"Times New Roman,Regular"&amp;10&amp;K7F7F7F &amp;"Calibri,Regular"&amp;10&amp;B&amp;K7F7F7FCentral Bank of Kuwait - Internal    &amp;B&amp;"Simplified Arabic,Regular"&amp;10&amp;K7F7F7Fبنك الكويت المركزي - داخلي</oddFooter>
    <evenFooter>&amp;C&amp;"Times New Roman,Regular"&amp;10&amp;K7F7F7F &amp;"Calibri,Regular"&amp;10&amp;B&amp;K7F7F7FCentral Bank of Kuwait - Internal    &amp;B&amp;"Simplified Arabic,Regular"&amp;10&amp;K7F7F7Fبنك الكويت المركزي - داخلي</evenFooter>
    <firstFooter>&amp;C&amp;"Times New Roman,Regular"&amp;10&amp;K7F7F7F &amp;"Calibri,Regular"&amp;10&amp;B&amp;K7F7F7FCentral Bank of Kuwait - Internal    &amp;B&amp;"Simplified Arabic,Regular"&amp;10&amp;K7F7F7Fبنك الكويت المركزي - داخلي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4ACE-9B00-4A65-ABA8-A93EE451E05A}">
  <sheetPr>
    <pageSetUpPr autoPageBreaks="0"/>
  </sheetPr>
  <dimension ref="A1:N54"/>
  <sheetViews>
    <sheetView workbookViewId="0">
      <selection activeCell="C5" sqref="C5"/>
    </sheetView>
  </sheetViews>
  <sheetFormatPr defaultRowHeight="15" x14ac:dyDescent="0.25"/>
  <cols>
    <col min="1" max="1" width="14.42578125" bestFit="1" customWidth="1"/>
    <col min="2" max="2" width="17.7109375" bestFit="1" customWidth="1"/>
    <col min="3" max="3" width="47" bestFit="1" customWidth="1"/>
    <col min="5" max="5" width="40.28515625" bestFit="1" customWidth="1"/>
    <col min="6" max="6" width="10.140625" bestFit="1" customWidth="1"/>
    <col min="7" max="8" width="10.7109375" bestFit="1" customWidth="1"/>
    <col min="9" max="9" width="11.28515625" customWidth="1"/>
    <col min="10" max="10" width="15.42578125" bestFit="1" customWidth="1"/>
    <col min="11" max="11" width="7.42578125" bestFit="1" customWidth="1"/>
    <col min="13" max="13" width="13.7109375" bestFit="1" customWidth="1"/>
    <col min="14" max="14" width="7.42578125" bestFit="1" customWidth="1"/>
  </cols>
  <sheetData>
    <row r="1" spans="1:14" x14ac:dyDescent="0.25">
      <c r="G1" s="53" t="s">
        <v>243</v>
      </c>
      <c r="H1" s="53"/>
      <c r="I1" s="53"/>
    </row>
    <row r="2" spans="1:14" x14ac:dyDescent="0.25">
      <c r="A2" s="6" t="s">
        <v>12</v>
      </c>
      <c r="B2" s="9"/>
      <c r="C2" s="9"/>
      <c r="D2" s="9"/>
      <c r="E2" s="9"/>
      <c r="G2" s="22">
        <f ca="1">TODAY()</f>
        <v>46085</v>
      </c>
      <c r="H2" s="22">
        <f ca="1">G2+1</f>
        <v>46086</v>
      </c>
      <c r="I2" s="22">
        <f ca="1">H2+1</f>
        <v>46087</v>
      </c>
    </row>
    <row r="3" spans="1:14" x14ac:dyDescent="0.25">
      <c r="A3" s="10"/>
      <c r="B3" s="55" t="s">
        <v>13</v>
      </c>
      <c r="C3" s="55"/>
      <c r="D3" s="55"/>
      <c r="E3" s="55"/>
      <c r="F3" s="23" t="s">
        <v>241</v>
      </c>
      <c r="G3" s="24">
        <f>AVERAGE(G5:G6)</f>
        <v>1.1400000000000001</v>
      </c>
    </row>
    <row r="4" spans="1:14" x14ac:dyDescent="0.25">
      <c r="A4" s="6"/>
      <c r="B4" s="14" t="s">
        <v>157</v>
      </c>
      <c r="C4" s="14" t="s">
        <v>179</v>
      </c>
      <c r="D4" s="14"/>
      <c r="E4" s="14" t="s">
        <v>180</v>
      </c>
      <c r="G4" s="24"/>
    </row>
    <row r="5" spans="1:14" x14ac:dyDescent="0.25">
      <c r="A5" s="6"/>
      <c r="B5" t="s">
        <v>158</v>
      </c>
      <c r="C5" s="7" t="s">
        <v>187</v>
      </c>
      <c r="E5" s="7" t="s">
        <v>186</v>
      </c>
      <c r="F5" s="23" t="s">
        <v>242</v>
      </c>
      <c r="G5" s="24">
        <f>(1.76+2.2)/2</f>
        <v>1.98</v>
      </c>
    </row>
    <row r="6" spans="1:14" x14ac:dyDescent="0.25">
      <c r="A6" s="6"/>
      <c r="B6" t="s">
        <v>159</v>
      </c>
      <c r="C6" s="7" t="s">
        <v>188</v>
      </c>
      <c r="E6" s="7" t="s">
        <v>189</v>
      </c>
      <c r="F6" s="23" t="s">
        <v>242</v>
      </c>
      <c r="G6" s="24">
        <f>(0.2+0.4)/2</f>
        <v>0.30000000000000004</v>
      </c>
    </row>
    <row r="7" spans="1:14" x14ac:dyDescent="0.25">
      <c r="A7" s="10"/>
      <c r="B7" s="55" t="s">
        <v>14</v>
      </c>
      <c r="C7" s="55"/>
      <c r="D7" s="55"/>
      <c r="E7" s="55"/>
    </row>
    <row r="8" spans="1:14" x14ac:dyDescent="0.25">
      <c r="A8" s="6"/>
      <c r="B8" s="14" t="s">
        <v>157</v>
      </c>
      <c r="C8" s="14" t="s">
        <v>179</v>
      </c>
      <c r="D8" s="14"/>
      <c r="E8" s="14" t="s">
        <v>180</v>
      </c>
    </row>
    <row r="9" spans="1:14" x14ac:dyDescent="0.25">
      <c r="A9" s="6"/>
      <c r="B9" t="s">
        <v>162</v>
      </c>
      <c r="C9" s="15" t="s">
        <v>190</v>
      </c>
      <c r="E9" s="7" t="s">
        <v>193</v>
      </c>
    </row>
    <row r="10" spans="1:14" x14ac:dyDescent="0.25">
      <c r="A10" s="6"/>
      <c r="B10" t="s">
        <v>163</v>
      </c>
      <c r="C10" s="7" t="s">
        <v>192</v>
      </c>
      <c r="E10" s="7" t="s">
        <v>191</v>
      </c>
    </row>
    <row r="11" spans="1:14" x14ac:dyDescent="0.25">
      <c r="A11" s="10"/>
      <c r="B11" s="55" t="s">
        <v>15</v>
      </c>
      <c r="C11" s="55"/>
      <c r="D11" s="55"/>
      <c r="E11" s="55"/>
      <c r="H11" s="11"/>
      <c r="I11" s="54"/>
      <c r="J11" s="54"/>
      <c r="K11" s="54"/>
      <c r="L11" s="54"/>
      <c r="M11" s="54"/>
      <c r="N11" s="54"/>
    </row>
    <row r="12" spans="1:14" x14ac:dyDescent="0.25">
      <c r="A12" s="6"/>
      <c r="B12" s="14" t="s">
        <v>157</v>
      </c>
      <c r="C12" s="14" t="s">
        <v>179</v>
      </c>
      <c r="D12" s="14"/>
      <c r="E12" s="14" t="s">
        <v>180</v>
      </c>
      <c r="H12" s="12"/>
      <c r="I12" s="13"/>
      <c r="J12" s="13"/>
      <c r="K12" s="13"/>
      <c r="L12" s="13"/>
      <c r="M12" s="13"/>
      <c r="N12" s="13"/>
    </row>
    <row r="13" spans="1:14" x14ac:dyDescent="0.25">
      <c r="A13" s="6"/>
      <c r="B13" t="s">
        <v>160</v>
      </c>
      <c r="C13" s="7" t="s">
        <v>194</v>
      </c>
      <c r="E13" s="7" t="s">
        <v>195</v>
      </c>
      <c r="H13" s="12"/>
      <c r="I13" s="13"/>
      <c r="J13" s="13"/>
      <c r="K13" s="13"/>
      <c r="L13" s="13"/>
      <c r="M13" s="13"/>
      <c r="N13" s="13"/>
    </row>
    <row r="14" spans="1:14" x14ac:dyDescent="0.25">
      <c r="A14" s="6"/>
      <c r="B14" t="s">
        <v>161</v>
      </c>
      <c r="C14" s="7" t="s">
        <v>196</v>
      </c>
      <c r="E14" s="7" t="s">
        <v>197</v>
      </c>
      <c r="H14" s="12"/>
      <c r="I14" s="13"/>
      <c r="J14" s="13"/>
      <c r="K14" s="13"/>
      <c r="L14" s="13"/>
      <c r="M14" s="13"/>
      <c r="N14" s="13"/>
    </row>
    <row r="15" spans="1:14" x14ac:dyDescent="0.25">
      <c r="A15" s="10"/>
      <c r="B15" s="55" t="s">
        <v>16</v>
      </c>
      <c r="C15" s="55"/>
      <c r="D15" s="55"/>
      <c r="E15" s="55"/>
      <c r="H15" s="11"/>
      <c r="I15" s="54"/>
      <c r="J15" s="54"/>
      <c r="K15" s="54"/>
      <c r="L15" s="54"/>
      <c r="M15" s="54"/>
      <c r="N15" s="54"/>
    </row>
    <row r="16" spans="1:14" x14ac:dyDescent="0.25">
      <c r="A16" s="6"/>
      <c r="B16" s="14" t="s">
        <v>157</v>
      </c>
      <c r="C16" s="14" t="s">
        <v>179</v>
      </c>
      <c r="D16" s="14"/>
      <c r="E16" s="14" t="s">
        <v>180</v>
      </c>
      <c r="H16" s="12"/>
      <c r="I16" s="13"/>
      <c r="J16" s="13"/>
      <c r="K16" s="13"/>
      <c r="L16" s="13"/>
      <c r="M16" s="13"/>
      <c r="N16" s="13"/>
    </row>
    <row r="17" spans="1:14" x14ac:dyDescent="0.25">
      <c r="A17" s="6"/>
      <c r="B17" t="s">
        <v>164</v>
      </c>
      <c r="C17" s="7" t="s">
        <v>198</v>
      </c>
      <c r="E17" s="7" t="s">
        <v>199</v>
      </c>
      <c r="H17" s="12"/>
      <c r="I17" s="13"/>
      <c r="J17" s="13"/>
      <c r="K17" s="13"/>
      <c r="L17" s="13"/>
      <c r="M17" s="13"/>
      <c r="N17" s="13"/>
    </row>
    <row r="18" spans="1:14" x14ac:dyDescent="0.25">
      <c r="A18" s="6"/>
      <c r="B18" t="s">
        <v>165</v>
      </c>
      <c r="C18" s="7" t="s">
        <v>200</v>
      </c>
      <c r="E18" s="7" t="s">
        <v>201</v>
      </c>
      <c r="H18" s="12"/>
      <c r="J18" s="13"/>
      <c r="K18" s="13"/>
      <c r="L18" s="13"/>
      <c r="M18" s="13"/>
      <c r="N18" s="13"/>
    </row>
    <row r="19" spans="1:14" x14ac:dyDescent="0.25">
      <c r="A19" s="6"/>
      <c r="B19" t="s">
        <v>166</v>
      </c>
      <c r="C19" s="7" t="s">
        <v>203</v>
      </c>
      <c r="E19" s="7" t="s">
        <v>202</v>
      </c>
      <c r="H19" s="12"/>
      <c r="I19" s="13"/>
      <c r="J19" s="13"/>
      <c r="K19" s="13"/>
      <c r="L19" s="13"/>
      <c r="M19" s="13"/>
      <c r="N19" s="13"/>
    </row>
    <row r="20" spans="1:14" x14ac:dyDescent="0.25">
      <c r="A20" s="10"/>
      <c r="B20" s="55" t="s">
        <v>17</v>
      </c>
      <c r="C20" s="55"/>
      <c r="D20" s="55"/>
      <c r="E20" s="55"/>
      <c r="H20" s="11"/>
      <c r="I20" s="54"/>
      <c r="J20" s="54"/>
      <c r="K20" s="54"/>
      <c r="L20" s="54"/>
      <c r="M20" s="54"/>
      <c r="N20" s="54"/>
    </row>
    <row r="21" spans="1:14" x14ac:dyDescent="0.25">
      <c r="A21" s="6"/>
      <c r="B21" s="14" t="s">
        <v>157</v>
      </c>
      <c r="C21" s="14" t="s">
        <v>179</v>
      </c>
      <c r="D21" s="14"/>
      <c r="E21" s="14" t="s">
        <v>180</v>
      </c>
      <c r="H21" s="12"/>
      <c r="I21" s="13"/>
      <c r="J21" s="13"/>
      <c r="K21" s="13"/>
      <c r="L21" s="13"/>
      <c r="M21" s="13"/>
      <c r="N21" s="13"/>
    </row>
    <row r="22" spans="1:14" x14ac:dyDescent="0.25">
      <c r="A22" s="6"/>
      <c r="B22" t="s">
        <v>167</v>
      </c>
      <c r="C22" s="7" t="s">
        <v>204</v>
      </c>
      <c r="E22" s="7" t="s">
        <v>205</v>
      </c>
      <c r="H22" s="12"/>
      <c r="I22" s="13"/>
      <c r="J22" s="13"/>
      <c r="K22" s="13"/>
      <c r="L22" s="13"/>
      <c r="M22" s="13"/>
      <c r="N22" s="13"/>
    </row>
    <row r="23" spans="1:14" x14ac:dyDescent="0.25">
      <c r="A23" s="6"/>
      <c r="B23" t="s">
        <v>168</v>
      </c>
      <c r="C23" s="7" t="s">
        <v>207</v>
      </c>
      <c r="E23" s="7" t="s">
        <v>206</v>
      </c>
      <c r="H23" s="12"/>
      <c r="I23" s="13"/>
      <c r="J23" s="13"/>
      <c r="K23" s="13"/>
      <c r="L23" s="13"/>
      <c r="M23" s="13"/>
      <c r="N23" s="13"/>
    </row>
    <row r="24" spans="1:14" x14ac:dyDescent="0.25">
      <c r="A24" s="10"/>
      <c r="B24" s="55" t="s">
        <v>18</v>
      </c>
      <c r="C24" s="55"/>
      <c r="D24" s="55"/>
      <c r="E24" s="55"/>
      <c r="H24" s="11"/>
      <c r="I24" s="54"/>
      <c r="J24" s="54"/>
      <c r="K24" s="54"/>
      <c r="L24" s="54"/>
      <c r="M24" s="54"/>
      <c r="N24" s="54"/>
    </row>
    <row r="25" spans="1:14" x14ac:dyDescent="0.25">
      <c r="A25" s="6"/>
      <c r="B25" s="8" t="s">
        <v>157</v>
      </c>
      <c r="C25" s="14" t="s">
        <v>179</v>
      </c>
      <c r="D25" s="14"/>
      <c r="E25" s="14" t="s">
        <v>180</v>
      </c>
      <c r="H25" s="12"/>
      <c r="I25" s="13"/>
      <c r="J25" s="13"/>
      <c r="K25" s="13"/>
      <c r="L25" s="13"/>
      <c r="M25" s="13"/>
      <c r="N25" s="13"/>
    </row>
    <row r="26" spans="1:14" x14ac:dyDescent="0.25">
      <c r="A26" s="6"/>
      <c r="B26" t="s">
        <v>169</v>
      </c>
      <c r="C26" s="7" t="s">
        <v>209</v>
      </c>
      <c r="E26" s="7" t="s">
        <v>208</v>
      </c>
      <c r="H26" s="12"/>
      <c r="I26" s="13"/>
      <c r="J26" s="13"/>
      <c r="K26" s="13"/>
      <c r="L26" s="13"/>
      <c r="M26" s="13"/>
      <c r="N26" s="13"/>
    </row>
    <row r="27" spans="1:14" x14ac:dyDescent="0.25">
      <c r="A27" s="6"/>
      <c r="B27" t="s">
        <v>170</v>
      </c>
      <c r="C27" s="7" t="s">
        <v>211</v>
      </c>
      <c r="E27" s="7" t="s">
        <v>210</v>
      </c>
      <c r="H27" s="12"/>
      <c r="I27" s="13"/>
      <c r="J27" s="13"/>
      <c r="K27" s="13"/>
      <c r="L27" s="13"/>
      <c r="M27" s="13"/>
      <c r="N27" s="13"/>
    </row>
    <row r="28" spans="1:14" x14ac:dyDescent="0.25">
      <c r="A28" s="6"/>
      <c r="B28" t="s">
        <v>171</v>
      </c>
      <c r="C28" s="7" t="s">
        <v>233</v>
      </c>
      <c r="E28" s="7" t="s">
        <v>232</v>
      </c>
      <c r="H28" s="12"/>
      <c r="I28" s="13"/>
      <c r="J28" s="13"/>
      <c r="K28" s="13"/>
      <c r="L28" s="13"/>
      <c r="M28" s="13"/>
      <c r="N28" s="13"/>
    </row>
    <row r="29" spans="1:14" x14ac:dyDescent="0.25">
      <c r="A29" s="10"/>
      <c r="B29" s="55" t="s">
        <v>19</v>
      </c>
      <c r="C29" s="55"/>
      <c r="D29" s="55"/>
      <c r="E29" s="55"/>
      <c r="H29" s="11"/>
      <c r="I29" s="54"/>
      <c r="J29" s="54"/>
      <c r="K29" s="54"/>
      <c r="L29" s="54"/>
      <c r="M29" s="54"/>
      <c r="N29" s="54"/>
    </row>
    <row r="30" spans="1:14" x14ac:dyDescent="0.25">
      <c r="A30" s="6"/>
      <c r="B30" s="14" t="s">
        <v>157</v>
      </c>
      <c r="C30" s="14" t="s">
        <v>179</v>
      </c>
      <c r="D30" s="14"/>
      <c r="E30" s="14" t="s">
        <v>180</v>
      </c>
      <c r="H30" s="12"/>
      <c r="I30" s="13"/>
      <c r="J30" s="13"/>
      <c r="K30" s="13"/>
      <c r="L30" s="13"/>
      <c r="M30" s="13"/>
      <c r="N30" s="13"/>
    </row>
    <row r="31" spans="1:14" x14ac:dyDescent="0.25">
      <c r="A31" s="6"/>
      <c r="B31" t="s">
        <v>172</v>
      </c>
      <c r="C31" s="7" t="s">
        <v>213</v>
      </c>
      <c r="E31" s="7" t="s">
        <v>212</v>
      </c>
      <c r="H31" s="12"/>
      <c r="I31" s="13"/>
      <c r="J31" s="13"/>
      <c r="K31" s="13"/>
      <c r="L31" s="13"/>
      <c r="M31" s="13"/>
      <c r="N31" s="13"/>
    </row>
    <row r="32" spans="1:14" x14ac:dyDescent="0.25">
      <c r="A32" s="6"/>
      <c r="B32" t="s">
        <v>173</v>
      </c>
      <c r="C32" s="7" t="s">
        <v>215</v>
      </c>
      <c r="E32" s="7" t="s">
        <v>214</v>
      </c>
      <c r="H32" s="12"/>
      <c r="I32" s="13"/>
      <c r="J32" s="13"/>
      <c r="K32" s="13"/>
      <c r="L32" s="13"/>
      <c r="M32" s="13"/>
      <c r="N32" s="13"/>
    </row>
    <row r="33" spans="1:14" x14ac:dyDescent="0.25">
      <c r="A33" s="6"/>
      <c r="B33" t="s">
        <v>174</v>
      </c>
      <c r="C33" s="7" t="s">
        <v>234</v>
      </c>
      <c r="E33" s="7" t="s">
        <v>235</v>
      </c>
      <c r="H33" s="12"/>
      <c r="I33" s="13"/>
      <c r="J33" s="13"/>
      <c r="K33" s="13"/>
      <c r="L33" s="13"/>
      <c r="M33" s="13"/>
      <c r="N33" s="13"/>
    </row>
    <row r="34" spans="1:14" x14ac:dyDescent="0.25">
      <c r="A34" s="10"/>
      <c r="B34" s="55" t="s">
        <v>20</v>
      </c>
      <c r="C34" s="55"/>
      <c r="D34" s="55"/>
      <c r="E34" s="55"/>
      <c r="H34" s="11"/>
      <c r="I34" s="54"/>
      <c r="J34" s="54"/>
      <c r="K34" s="54"/>
      <c r="L34" s="54"/>
      <c r="M34" s="54"/>
      <c r="N34" s="54"/>
    </row>
    <row r="35" spans="1:14" x14ac:dyDescent="0.25">
      <c r="A35" s="6"/>
      <c r="B35" s="14" t="s">
        <v>157</v>
      </c>
      <c r="C35" s="14" t="s">
        <v>179</v>
      </c>
      <c r="D35" s="14"/>
      <c r="E35" s="14" t="s">
        <v>180</v>
      </c>
      <c r="H35" s="12"/>
      <c r="I35" s="13"/>
      <c r="J35" s="13"/>
      <c r="K35" s="13"/>
      <c r="L35" s="13"/>
      <c r="M35" s="13"/>
      <c r="N35" s="13"/>
    </row>
    <row r="36" spans="1:14" x14ac:dyDescent="0.25">
      <c r="A36" s="6"/>
      <c r="B36" t="s">
        <v>175</v>
      </c>
      <c r="C36" s="7" t="s">
        <v>216</v>
      </c>
      <c r="E36" s="7" t="s">
        <v>217</v>
      </c>
      <c r="H36" s="12"/>
      <c r="I36" s="13"/>
      <c r="J36" s="13"/>
      <c r="K36" s="13"/>
      <c r="L36" s="13"/>
      <c r="M36" s="13"/>
      <c r="N36" s="13"/>
    </row>
    <row r="37" spans="1:14" x14ac:dyDescent="0.25">
      <c r="A37" s="6"/>
      <c r="B37" t="s">
        <v>176</v>
      </c>
      <c r="C37" s="7" t="s">
        <v>237</v>
      </c>
      <c r="E37" s="7" t="s">
        <v>236</v>
      </c>
      <c r="H37" s="12"/>
      <c r="I37" s="13"/>
      <c r="J37" s="13"/>
      <c r="K37" s="13"/>
      <c r="L37" s="13"/>
      <c r="M37" s="13"/>
      <c r="N37" s="13"/>
    </row>
    <row r="38" spans="1:14" x14ac:dyDescent="0.25">
      <c r="A38" s="10"/>
      <c r="B38" s="55" t="s">
        <v>21</v>
      </c>
      <c r="C38" s="55"/>
      <c r="D38" s="55"/>
      <c r="E38" s="55"/>
      <c r="H38" s="11"/>
      <c r="I38" s="54"/>
      <c r="J38" s="54"/>
      <c r="K38" s="54"/>
      <c r="L38" s="54"/>
      <c r="M38" s="54"/>
      <c r="N38" s="54"/>
    </row>
    <row r="39" spans="1:14" x14ac:dyDescent="0.25">
      <c r="A39" s="6"/>
      <c r="B39" s="14" t="s">
        <v>157</v>
      </c>
      <c r="C39" s="14" t="s">
        <v>179</v>
      </c>
      <c r="D39" s="14"/>
      <c r="E39" s="14" t="s">
        <v>180</v>
      </c>
      <c r="H39" s="12"/>
      <c r="I39" s="13"/>
      <c r="J39" s="13"/>
      <c r="K39" s="13"/>
      <c r="L39" s="13"/>
      <c r="M39" s="13"/>
      <c r="N39" s="13"/>
    </row>
    <row r="40" spans="1:14" x14ac:dyDescent="0.25">
      <c r="A40" s="6"/>
      <c r="B40" t="s">
        <v>177</v>
      </c>
      <c r="C40" s="7" t="s">
        <v>229</v>
      </c>
      <c r="E40" s="7" t="s">
        <v>228</v>
      </c>
      <c r="H40" s="12"/>
      <c r="I40" s="13"/>
      <c r="J40" s="13"/>
      <c r="K40" s="13"/>
      <c r="L40" s="13"/>
      <c r="M40" s="13"/>
      <c r="N40" s="13"/>
    </row>
    <row r="41" spans="1:14" x14ac:dyDescent="0.25">
      <c r="A41" s="6"/>
      <c r="B41" t="s">
        <v>178</v>
      </c>
      <c r="C41" s="7" t="s">
        <v>231</v>
      </c>
      <c r="E41" s="7" t="s">
        <v>230</v>
      </c>
      <c r="H41" s="12"/>
      <c r="I41" s="13"/>
      <c r="J41" s="13"/>
      <c r="K41" s="13"/>
      <c r="L41" s="13"/>
      <c r="M41" s="13"/>
      <c r="N41" s="13"/>
    </row>
    <row r="45" spans="1:14" x14ac:dyDescent="0.25">
      <c r="A45" s="6" t="s">
        <v>22</v>
      </c>
      <c r="B45" s="9"/>
      <c r="C45" s="9" t="s">
        <v>179</v>
      </c>
      <c r="D45" s="9"/>
      <c r="E45" s="9" t="s">
        <v>180</v>
      </c>
    </row>
    <row r="46" spans="1:14" x14ac:dyDescent="0.25">
      <c r="A46" s="10"/>
      <c r="B46" s="55" t="s">
        <v>23</v>
      </c>
      <c r="C46" s="55"/>
      <c r="D46" s="55"/>
      <c r="E46" s="55"/>
    </row>
    <row r="47" spans="1:14" x14ac:dyDescent="0.25">
      <c r="A47" s="6"/>
      <c r="B47" s="14" t="s">
        <v>157</v>
      </c>
      <c r="C47" s="14" t="s">
        <v>179</v>
      </c>
      <c r="D47" s="14"/>
      <c r="E47" s="14" t="s">
        <v>180</v>
      </c>
    </row>
    <row r="48" spans="1:14" x14ac:dyDescent="0.25">
      <c r="A48" s="6"/>
      <c r="B48" t="s">
        <v>181</v>
      </c>
      <c r="C48" s="7" t="s">
        <v>219</v>
      </c>
      <c r="E48" s="7" t="s">
        <v>218</v>
      </c>
    </row>
    <row r="49" spans="1:5" x14ac:dyDescent="0.25">
      <c r="A49" s="6"/>
      <c r="B49" t="s">
        <v>183</v>
      </c>
      <c r="C49" s="7" t="s">
        <v>221</v>
      </c>
      <c r="E49" s="7" t="s">
        <v>220</v>
      </c>
    </row>
    <row r="50" spans="1:5" x14ac:dyDescent="0.25">
      <c r="A50" s="6"/>
      <c r="B50" t="s">
        <v>182</v>
      </c>
      <c r="C50" s="7" t="s">
        <v>223</v>
      </c>
      <c r="E50" s="7" t="s">
        <v>222</v>
      </c>
    </row>
    <row r="51" spans="1:5" x14ac:dyDescent="0.25">
      <c r="A51" s="10"/>
      <c r="B51" s="55" t="s">
        <v>24</v>
      </c>
      <c r="C51" s="55"/>
      <c r="D51" s="55"/>
      <c r="E51" s="55"/>
    </row>
    <row r="52" spans="1:5" x14ac:dyDescent="0.25">
      <c r="A52" s="6"/>
      <c r="B52" s="14" t="s">
        <v>157</v>
      </c>
      <c r="C52" s="14" t="s">
        <v>179</v>
      </c>
      <c r="D52" s="14"/>
      <c r="E52" s="14" t="s">
        <v>180</v>
      </c>
    </row>
    <row r="53" spans="1:5" x14ac:dyDescent="0.25">
      <c r="A53" s="6"/>
      <c r="B53" t="s">
        <v>184</v>
      </c>
      <c r="C53" s="7" t="s">
        <v>225</v>
      </c>
      <c r="E53" s="7" t="s">
        <v>224</v>
      </c>
    </row>
    <row r="54" spans="1:5" x14ac:dyDescent="0.25">
      <c r="A54" s="6"/>
      <c r="B54" t="s">
        <v>185</v>
      </c>
      <c r="C54" s="7" t="s">
        <v>226</v>
      </c>
      <c r="E54" s="7" t="s">
        <v>227</v>
      </c>
    </row>
  </sheetData>
  <mergeCells count="19">
    <mergeCell ref="B51:E51"/>
    <mergeCell ref="I34:N34"/>
    <mergeCell ref="I11:N11"/>
    <mergeCell ref="I15:N15"/>
    <mergeCell ref="I20:N20"/>
    <mergeCell ref="I24:N24"/>
    <mergeCell ref="I29:N29"/>
    <mergeCell ref="B24:E24"/>
    <mergeCell ref="B29:E29"/>
    <mergeCell ref="B11:E11"/>
    <mergeCell ref="B15:E15"/>
    <mergeCell ref="B20:E20"/>
    <mergeCell ref="G1:I1"/>
    <mergeCell ref="I38:N38"/>
    <mergeCell ref="B34:E34"/>
    <mergeCell ref="B38:E38"/>
    <mergeCell ref="B46:E46"/>
    <mergeCell ref="B3:E3"/>
    <mergeCell ref="B7:E7"/>
  </mergeCells>
  <hyperlinks>
    <hyperlink ref="C5" r:id="rId1" location=":~:text=%D8%BA%D9%84%D9%88%D8%AA%D9%8A%D9%86%20340%20%D8%AC%D9%85-,2.200,-%D8%AF%D9%8A%D9%86%D8%A7%D8%B1" xr:uid="{53E466B8-B363-458A-BCC4-6BFE65ED4A48}"/>
    <hyperlink ref="C6" r:id="rId2" location=":~:text=%D8%A7%D8%A8%D9%8A%D8%B6%20%D9%84%D9%88%D8%B2%D9%8A%D9%86%20600%D8%AC%D9%85-,0.400,-%D8%AF%D9%8A%D9%86%D8%A7%D8%B1" xr:uid="{CBAAE002-92AA-4E23-A450-7316EF1748E6}"/>
    <hyperlink ref="E5" r:id="rId3" location=":~:text=%D9%81%D9%84%D9%83%D8%B3%20%D8%A7%D8%B5%D9%84%D9%8A%20750%D8%AC%D9%85-,1.760,-%D8%AF%D9%8A%D9%86%D8%A7%D8%B1" xr:uid="{A2888099-EC7C-4816-8507-98136613CC51}"/>
    <hyperlink ref="E6" r:id="rId4" location=":~:text=%D8%AF%20500%D8%AC%D9%85%20%D8%A7%D9%84%D9%85%D8%B7%D8%A7%D8%AD%D9%86-,0.200,-%D8%AF%D9%8A%D9%86%D8%A7%D8%B1" display="المطاحن خبز ابيض 375 جم" xr:uid="{4DF6FA07-9AE1-423E-B648-3F0D25EAC177}"/>
    <hyperlink ref="C9" r:id="rId5" display="https://almawashistore.com/Product/MeatItem/154" xr:uid="{B7731C00-1B13-4914-9A34-3D2818092EE9}"/>
    <hyperlink ref="C10" r:id="rId6" location=":~:text=x%201%20kg-,3.170,-KWD" xr:uid="{02FD932C-3C5F-4E1E-B61F-688AB143EC3B}"/>
    <hyperlink ref="E10" r:id="rId7" location=":~:text=Chicken%201%20kg-,1.795,-KWD" xr:uid="{9CC7A6CC-BF31-4D70-BBAE-35E6CD7D602B}"/>
    <hyperlink ref="E9" r:id="rId8" location=":~:text=Mutton%20Leg%201kg-,4.190,-KWD" xr:uid="{1255872A-53E9-4559-9D8C-2DFB17CD2592}"/>
    <hyperlink ref="C13" r:id="rId9" location=":~:text=KD-,3.890,-1%20x%20Per" xr:uid="{AB7F0B2C-BF24-493C-B35F-F91AC99A1489}"/>
    <hyperlink ref="E13" r:id="rId10" location=":~:text=Cleaned%201%20kg-,3.075,-KWD" xr:uid="{3CF3A2B3-9F45-47DC-BBA4-705AB1E4B146}"/>
    <hyperlink ref="C14" r:id="rId11" location=":~:text=KD-,1.495,-1%20x%20Per" xr:uid="{A2111383-4E15-4D1B-9FDD-9C57654D3B9C}"/>
    <hyperlink ref="E14" r:id="rId12" location=":~:text=Medium%20500%20g-,1.975,-KWD" xr:uid="{666C0C56-83F9-4381-AA91-B8B6BC6DE8A4}"/>
    <hyperlink ref="C17" r:id="rId13" location=":~:text=KD-,0.490,-1%20x%201" xr:uid="{20DAC5F8-4F03-453F-A038-FC3B59CFAA8A}"/>
    <hyperlink ref="E17" r:id="rId14" location=":~:text=Fat%201%20Litre-,0.470,-KWD" xr:uid="{2D5C658C-AE62-49AD-9C50-2FE5668864FF}"/>
    <hyperlink ref="C18" r:id="rId15" location=":~:text=KD-,1.405,-1%20x%20500" xr:uid="{2BEB217D-DE78-4BF8-A5DD-0A4085B504C3}"/>
    <hyperlink ref="E18" r:id="rId16" location=":~:text=Spread%20480%20g-,1.275,-KWD" xr:uid="{2B652D00-90BB-4F04-915A-CB4FD5B24F0C}"/>
    <hyperlink ref="E19" r:id="rId17" location=":~:text=Eggs%20Large%2030pcs-,1.445,-KWD" xr:uid="{930C6953-D6CD-4692-A339-9C2A718D2AF6}"/>
    <hyperlink ref="C19" r:id="rId18" location=":~:text=KD-,3.080,-1%20x%2030" xr:uid="{BE3AEF31-EDCA-4479-A853-07490C839C6A}"/>
    <hyperlink ref="C22" r:id="rId19" location=":~:text=KD-,5.150,-1%20x%20500" xr:uid="{1A7C8137-5335-4A8E-8F64-43CFF38787BE}"/>
    <hyperlink ref="E22" r:id="rId20" location=":~:text=Oil%20500%20ml-,1.450,-KWD" xr:uid="{5687F08E-FEE0-413F-8D05-6CEC2AB9D983}"/>
    <hyperlink ref="E23" r:id="rId21" location=":~:text=Butter%20400%20g-,1.275,-KWD" xr:uid="{D64C1998-B022-4C70-81C8-4BF6E6A658BF}"/>
    <hyperlink ref="C23" r:id="rId22" location=":~:text=Unsalted%20400%20g-,1.750,-KWD" xr:uid="{DADBF3DB-C54A-4653-8814-D3A58DCCC307}"/>
    <hyperlink ref="E26" r:id="rId23" location=":~:text=USA%201%20kg-,1.095,-KWD" xr:uid="{6F6B987D-7800-4233-9CF5-C79AFF640113}"/>
    <hyperlink ref="C26" r:id="rId24" location=":~:text=Green%201%20kg-,1.395,-KWD" xr:uid="{F2CF5018-EBB9-4D90-AEAF-F379EABF8F7B}"/>
    <hyperlink ref="E27" r:id="rId25" location=":~:text=KD-,0.355,-1%20x%20400" xr:uid="{22740209-8743-43F3-A292-397239FA3AC9}"/>
    <hyperlink ref="C27" r:id="rId26" location=":~:text=KD-,1.360,-1%20x%20400" xr:uid="{4BEB6CC5-FBC8-427A-973D-E790D576C134}"/>
    <hyperlink ref="E31" r:id="rId27" location=":~:text=Kuwait%201%20kg-,0.990,-KWD" xr:uid="{7EE10920-8A3D-4B3F-9FFC-0BBC4AA2C8A1}"/>
    <hyperlink ref="C31" r:id="rId28" location=":~:text=KD-,3.695,-1%20x%20Avg" xr:uid="{BB00FC32-2158-4553-AC30-D6EB38B5F9EB}"/>
    <hyperlink ref="E32" r:id="rId29" location=":~:text=KD-,0.950,-1%20x%20900" xr:uid="{3EC1C63B-990E-48E4-B50F-53A35678A1C4}"/>
    <hyperlink ref="C32" r:id="rId30" location=":~:text=KD-,1.140,-1%20x%20900" xr:uid="{9B0EE920-5044-4140-A75E-EBF424A7BF08}"/>
    <hyperlink ref="C36" r:id="rId31" location=":~:text=KD-,0.990,-1%20x%205" xr:uid="{A425F506-2FEA-4DC9-BD59-6D693AE8BD1D}"/>
    <hyperlink ref="E36" r:id="rId32" location=":~:text=KD-,1.720,-1%20x%205" xr:uid="{03F71A27-440A-4A4B-854B-2DFEF947D01B}"/>
    <hyperlink ref="E48" r:id="rId33" location=":~:text=Coffee%20190%20g-,1.920,-KWD" xr:uid="{0E45784D-296C-45DB-B10A-BD6D712D14E3}"/>
    <hyperlink ref="C48" r:id="rId34" location=":~:text=Coffee%20190%20g-,2.480,-KWD" xr:uid="{6E0BBF23-8F07-4917-8830-E09232297B35}"/>
    <hyperlink ref="E49" r:id="rId35" location=":~:text=Tea%20400%20g-,0.895,-KWD" xr:uid="{DAA26041-F7F3-4C7D-AB6B-97D90995073F}"/>
    <hyperlink ref="C49" r:id="rId36" location=":~:text=Tea%20400%20g-,1.660,-KWD" xr:uid="{32C31775-5901-4212-921A-124C64D62904}"/>
    <hyperlink ref="E50" r:id="rId37" location=":~:text=Powder%201%20kg-,2.280,-KWD" xr:uid="{D8037A1D-5838-4A6F-B1A5-CE8884C52A8E}"/>
    <hyperlink ref="C50" r:id="rId38" location=":~:text=Creamy%20500%20g-,2.995,-KWD" xr:uid="{5AF8859F-CE71-43E8-A98A-E9A721B9450F}"/>
    <hyperlink ref="E53" r:id="rId39" location=":~:text=x%20330%20ml-,0.545,-KWD" xr:uid="{B58A6E32-FC1C-4016-B7FB-8DD702A8E11E}"/>
    <hyperlink ref="C53" r:id="rId40" location=":~:text=KD-,0.835,-1%20x%2020" xr:uid="{F15FC01D-C246-4210-AE37-43F131BD2DF9}"/>
    <hyperlink ref="C54" r:id="rId41" location=":~:text=Can%20250%20ml-,0.100,-KWD" xr:uid="{70AEAE8F-3F43-49DD-BACA-FA9C0B72FDAE}"/>
    <hyperlink ref="E54" r:id="rId42" location=":~:text=Regular%20250%20ml-,0.085,-KWD" xr:uid="{AD8B87A9-9AD6-4B7B-B6D8-5FDE94F977D9}"/>
    <hyperlink ref="E40" r:id="rId43" location=":~:text=Cream%201%20Litre-,1.000,-KWD" xr:uid="{1AEAD337-D503-406B-90AD-B16C63169762}"/>
    <hyperlink ref="C40" r:id="rId44" location=":~:text=Cream%201%20Litre-,1.995,-KWD" xr:uid="{E1CDD6AA-4849-4E71-8E2B-C5914A07095C}"/>
    <hyperlink ref="E41" r:id="rId45" location=":~:text=Biscuits%20250%20g-,0.525,-KWD" xr:uid="{FCAD7881-0CAA-4D8E-88D3-01660E88D29C}"/>
    <hyperlink ref="C41" r:id="rId46" location=":~:text=Biscuits%20250%20g-,0.720,-KWD" xr:uid="{5126E58B-CF05-4DBE-B117-8CA318A7E28F}"/>
    <hyperlink ref="E28" r:id="rId47" location=":~:text=Dried%20Fig%20500g-,2.585,-KWD" xr:uid="{DBA636F0-5220-4379-B1AD-6FB3E2222602}"/>
    <hyperlink ref="C28" r:id="rId48" location=":~:text=KD-,3.230,-1%20x%20250" xr:uid="{BEBF91D6-911F-465C-8239-B92266BC42D6}"/>
    <hyperlink ref="C33" r:id="rId49" location=":~:text=Chips%20190%20g-,3.250,-KWD" xr:uid="{93BF437A-FDDA-4143-9085-92257C39CA49}"/>
    <hyperlink ref="E33" r:id="rId50" location=":~:text=Whole%20200%20g-,0.595,-KWD" xr:uid="{D61F6140-5FF0-414A-A680-9DDC489496DF}"/>
    <hyperlink ref="E37" r:id="rId51" location=":~:text=Honey%20500%20g-,2.400,-KWD" xr:uid="{67014617-5244-47FD-BA2F-F7FFFB616213}"/>
    <hyperlink ref="C37" r:id="rId52" location=":~:text=Honey%20500%20g-,3.200,-KWD" xr:uid="{EDBF0CC9-9F4D-4427-A454-F26079201AED}"/>
  </hyperlinks>
  <pageMargins left="0.7" right="0.7" top="0.75" bottom="0.75" header="0.3" footer="0.3"/>
  <pageSetup paperSize="9" orientation="portrait" r:id="rId53"/>
  <headerFooter>
    <oddFooter>&amp;C&amp;"Times New Roman,Regular"&amp;10&amp;K7F7F7F &amp;"Calibri,Regular"&amp;10&amp;B&amp;K7F7F7FCentral Bank of Kuwait - Internal    &amp;B&amp;"Simplified Arabic,Regular"&amp;10&amp;K7F7F7Fبنك الكويت المركزي - داخلي</oddFooter>
    <evenFooter>&amp;C&amp;"Times New Roman,Regular"&amp;10&amp;K7F7F7F &amp;"Calibri,Regular"&amp;10&amp;B&amp;K7F7F7FCentral Bank of Kuwait - Internal    &amp;B&amp;"Simplified Arabic,Regular"&amp;10&amp;K7F7F7Fبنك الكويت المركزي - داخلي</evenFooter>
    <firstFooter>&amp;C&amp;"Times New Roman,Regular"&amp;10&amp;K7F7F7F &amp;"Calibri,Regular"&amp;10&amp;B&amp;K7F7F7FCentral Bank of Kuwait - Internal    &amp;B&amp;"Simplified Arabic,Regular"&amp;10&amp;K7F7F7Fبنك الكويت المركزي - داخلي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5201-F127-4D43-BC07-6536893C129E}">
  <sheetPr>
    <pageSetUpPr autoPageBreaks="0"/>
  </sheetPr>
  <dimension ref="A1:N41"/>
  <sheetViews>
    <sheetView workbookViewId="0">
      <selection activeCell="E32" sqref="E32"/>
    </sheetView>
  </sheetViews>
  <sheetFormatPr defaultRowHeight="15" x14ac:dyDescent="0.25"/>
  <cols>
    <col min="1" max="1" width="20.85546875" bestFit="1" customWidth="1"/>
    <col min="2" max="2" width="17.7109375" bestFit="1" customWidth="1"/>
    <col min="3" max="3" width="47" bestFit="1" customWidth="1"/>
    <col min="5" max="5" width="40.28515625" bestFit="1" customWidth="1"/>
    <col min="6" max="6" width="10.140625" bestFit="1" customWidth="1"/>
    <col min="7" max="8" width="10.7109375" bestFit="1" customWidth="1"/>
    <col min="9" max="9" width="11.28515625" customWidth="1"/>
    <col min="10" max="10" width="15.42578125" bestFit="1" customWidth="1"/>
    <col min="11" max="11" width="7.42578125" bestFit="1" customWidth="1"/>
    <col min="13" max="13" width="13.7109375" bestFit="1" customWidth="1"/>
    <col min="14" max="14" width="7.42578125" bestFit="1" customWidth="1"/>
  </cols>
  <sheetData>
    <row r="1" spans="1:14" x14ac:dyDescent="0.25">
      <c r="F1" s="42"/>
      <c r="G1" s="57"/>
      <c r="H1" s="57"/>
      <c r="I1" s="57"/>
    </row>
    <row r="2" spans="1:14" x14ac:dyDescent="0.25">
      <c r="A2" s="6" t="s">
        <v>1</v>
      </c>
      <c r="B2" s="9"/>
      <c r="C2" s="9"/>
      <c r="D2" s="9"/>
      <c r="E2" s="9"/>
      <c r="F2" s="42"/>
      <c r="G2" s="49"/>
      <c r="H2" s="49"/>
      <c r="I2" s="49"/>
    </row>
    <row r="3" spans="1:14" x14ac:dyDescent="0.25">
      <c r="A3" s="10"/>
      <c r="B3" s="26"/>
      <c r="C3" s="26"/>
      <c r="D3" s="26"/>
      <c r="E3" s="26"/>
      <c r="F3" s="42"/>
      <c r="G3" s="50"/>
      <c r="H3" s="42"/>
      <c r="I3" s="42"/>
    </row>
    <row r="4" spans="1:14" x14ac:dyDescent="0.25">
      <c r="A4" s="6"/>
      <c r="B4" s="14" t="s">
        <v>157</v>
      </c>
      <c r="C4" s="14" t="s">
        <v>179</v>
      </c>
      <c r="D4" s="14"/>
      <c r="E4" s="14" t="s">
        <v>180</v>
      </c>
      <c r="F4" s="42"/>
      <c r="G4" s="50"/>
      <c r="H4" s="42"/>
      <c r="I4" s="42"/>
    </row>
    <row r="5" spans="1:14" x14ac:dyDescent="0.25">
      <c r="A5" s="6"/>
      <c r="B5" t="s">
        <v>25</v>
      </c>
      <c r="C5" s="7" t="s">
        <v>254</v>
      </c>
      <c r="E5" s="7" t="s">
        <v>253</v>
      </c>
      <c r="F5" s="42"/>
      <c r="G5" s="50"/>
      <c r="H5" s="42"/>
      <c r="I5" s="42"/>
    </row>
    <row r="6" spans="1:14" x14ac:dyDescent="0.25">
      <c r="A6" s="6"/>
      <c r="C6" s="7"/>
      <c r="E6" s="7"/>
      <c r="F6" s="42"/>
      <c r="G6" s="50"/>
      <c r="H6" s="42"/>
      <c r="I6" s="42"/>
    </row>
    <row r="7" spans="1:14" x14ac:dyDescent="0.25">
      <c r="A7" s="6"/>
      <c r="C7" s="7"/>
      <c r="E7" s="7"/>
    </row>
    <row r="8" spans="1:14" x14ac:dyDescent="0.25">
      <c r="A8" s="11"/>
      <c r="B8" s="31"/>
      <c r="C8" s="25"/>
      <c r="D8" s="25"/>
      <c r="E8" s="25"/>
    </row>
    <row r="9" spans="1:14" x14ac:dyDescent="0.25">
      <c r="A9" s="12"/>
      <c r="B9" s="12"/>
      <c r="C9" s="12"/>
      <c r="D9" s="12"/>
      <c r="E9" s="12"/>
    </row>
    <row r="10" spans="1:14" x14ac:dyDescent="0.25">
      <c r="A10" s="12"/>
      <c r="B10" s="13"/>
      <c r="C10" s="32"/>
      <c r="D10" s="13"/>
      <c r="E10" s="32"/>
    </row>
    <row r="11" spans="1:14" x14ac:dyDescent="0.25">
      <c r="A11" s="12"/>
      <c r="B11" s="13"/>
      <c r="C11" s="32"/>
      <c r="D11" s="13"/>
      <c r="E11" s="32"/>
      <c r="H11" s="11"/>
      <c r="I11" s="54"/>
      <c r="J11" s="54"/>
      <c r="K11" s="54"/>
      <c r="L11" s="54"/>
      <c r="M11" s="54"/>
      <c r="N11" s="54"/>
    </row>
    <row r="12" spans="1:14" x14ac:dyDescent="0.25">
      <c r="A12" s="28"/>
      <c r="B12" s="28"/>
      <c r="C12" s="28"/>
      <c r="D12" s="28"/>
      <c r="E12" s="28"/>
      <c r="H12" s="12"/>
      <c r="I12" s="13"/>
      <c r="J12" s="13"/>
      <c r="K12" s="13"/>
      <c r="L12" s="13"/>
      <c r="M12" s="13"/>
      <c r="N12" s="13"/>
    </row>
    <row r="13" spans="1:14" x14ac:dyDescent="0.25">
      <c r="A13" s="28"/>
      <c r="B13" s="27"/>
      <c r="C13" s="30"/>
      <c r="D13" s="27"/>
      <c r="E13" s="30"/>
      <c r="H13" s="12"/>
      <c r="I13" s="13"/>
      <c r="J13" s="13"/>
      <c r="K13" s="13"/>
      <c r="L13" s="13"/>
      <c r="M13" s="13"/>
      <c r="N13" s="13"/>
    </row>
    <row r="14" spans="1:14" x14ac:dyDescent="0.25">
      <c r="A14" s="28"/>
      <c r="B14" s="27"/>
      <c r="C14" s="30"/>
      <c r="D14" s="27"/>
      <c r="E14" s="30"/>
      <c r="H14" s="12"/>
      <c r="I14" s="13"/>
      <c r="J14" s="13"/>
      <c r="K14" s="13"/>
      <c r="L14" s="13"/>
      <c r="M14" s="13"/>
      <c r="N14" s="13"/>
    </row>
    <row r="15" spans="1:14" x14ac:dyDescent="0.25">
      <c r="A15" s="29"/>
      <c r="B15" s="56"/>
      <c r="C15" s="56"/>
      <c r="D15" s="56"/>
      <c r="E15" s="56"/>
      <c r="H15" s="11"/>
      <c r="I15" s="54"/>
      <c r="J15" s="54"/>
      <c r="K15" s="54"/>
      <c r="L15" s="54"/>
      <c r="M15" s="54"/>
      <c r="N15" s="54"/>
    </row>
    <row r="16" spans="1:14" x14ac:dyDescent="0.25">
      <c r="A16" s="28"/>
      <c r="B16" s="28"/>
      <c r="C16" s="28"/>
      <c r="D16" s="28"/>
      <c r="E16" s="28"/>
      <c r="H16" s="12"/>
      <c r="I16" s="13"/>
      <c r="J16" s="13"/>
      <c r="K16" s="13"/>
      <c r="L16" s="13"/>
      <c r="M16" s="13"/>
      <c r="N16" s="13"/>
    </row>
    <row r="17" spans="1:14" x14ac:dyDescent="0.25">
      <c r="A17" s="28"/>
      <c r="B17" s="27"/>
      <c r="C17" s="30"/>
      <c r="D17" s="27"/>
      <c r="E17" s="30"/>
      <c r="H17" s="12"/>
      <c r="I17" s="13"/>
      <c r="J17" s="13"/>
      <c r="K17" s="13"/>
      <c r="L17" s="13"/>
      <c r="M17" s="13"/>
      <c r="N17" s="13"/>
    </row>
    <row r="18" spans="1:14" x14ac:dyDescent="0.25">
      <c r="A18" s="28"/>
      <c r="B18" s="27"/>
      <c r="C18" s="30"/>
      <c r="D18" s="27"/>
      <c r="E18" s="30"/>
      <c r="H18" s="12"/>
      <c r="J18" s="13"/>
      <c r="K18" s="13"/>
      <c r="L18" s="13"/>
      <c r="M18" s="13"/>
      <c r="N18" s="13"/>
    </row>
    <row r="19" spans="1:14" x14ac:dyDescent="0.25">
      <c r="A19" s="28"/>
      <c r="B19" s="27"/>
      <c r="C19" s="30"/>
      <c r="D19" s="27"/>
      <c r="E19" s="30"/>
      <c r="H19" s="12"/>
      <c r="I19" s="13"/>
      <c r="J19" s="13"/>
      <c r="K19" s="13"/>
      <c r="L19" s="13"/>
      <c r="M19" s="13"/>
      <c r="N19" s="13"/>
    </row>
    <row r="20" spans="1:14" x14ac:dyDescent="0.25">
      <c r="A20" s="29"/>
      <c r="B20" s="56"/>
      <c r="C20" s="56"/>
      <c r="D20" s="56"/>
      <c r="E20" s="56"/>
      <c r="H20" s="11"/>
      <c r="I20" s="54"/>
      <c r="J20" s="54"/>
      <c r="K20" s="54"/>
      <c r="L20" s="54"/>
      <c r="M20" s="54"/>
      <c r="N20" s="54"/>
    </row>
    <row r="21" spans="1:14" x14ac:dyDescent="0.25">
      <c r="A21" s="28"/>
      <c r="B21" s="28"/>
      <c r="C21" s="28"/>
      <c r="D21" s="28"/>
      <c r="E21" s="28"/>
      <c r="H21" s="12"/>
      <c r="I21" s="13"/>
      <c r="J21" s="13"/>
      <c r="K21" s="13"/>
      <c r="L21" s="13"/>
      <c r="M21" s="13"/>
      <c r="N21" s="13"/>
    </row>
    <row r="22" spans="1:14" x14ac:dyDescent="0.25">
      <c r="A22" s="28"/>
      <c r="B22" s="27"/>
      <c r="C22" s="30"/>
      <c r="D22" s="27"/>
      <c r="E22" s="30"/>
      <c r="H22" s="12"/>
      <c r="I22" s="13"/>
      <c r="J22" s="13"/>
      <c r="K22" s="13"/>
      <c r="L22" s="13"/>
      <c r="M22" s="13"/>
      <c r="N22" s="13"/>
    </row>
    <row r="23" spans="1:14" x14ac:dyDescent="0.25">
      <c r="A23" s="28"/>
      <c r="B23" s="27"/>
      <c r="C23" s="30"/>
      <c r="D23" s="27"/>
      <c r="E23" s="30"/>
      <c r="H23" s="12"/>
      <c r="I23" s="13"/>
      <c r="J23" s="13"/>
      <c r="K23" s="13"/>
      <c r="L23" s="13"/>
      <c r="M23" s="13"/>
      <c r="N23" s="13"/>
    </row>
    <row r="24" spans="1:14" x14ac:dyDescent="0.25">
      <c r="A24" s="29"/>
      <c r="B24" s="56"/>
      <c r="C24" s="56"/>
      <c r="D24" s="56"/>
      <c r="E24" s="56"/>
      <c r="H24" s="11"/>
      <c r="I24" s="54"/>
      <c r="J24" s="54"/>
      <c r="K24" s="54"/>
      <c r="L24" s="54"/>
      <c r="M24" s="54"/>
      <c r="N24" s="54"/>
    </row>
    <row r="25" spans="1:14" x14ac:dyDescent="0.25">
      <c r="A25" s="28"/>
      <c r="B25" s="27"/>
      <c r="C25" s="28"/>
      <c r="D25" s="28"/>
      <c r="E25" s="28"/>
      <c r="H25" s="12"/>
      <c r="I25" s="13"/>
      <c r="J25" s="13"/>
      <c r="K25" s="13"/>
      <c r="L25" s="13"/>
      <c r="M25" s="13"/>
      <c r="N25" s="13"/>
    </row>
    <row r="26" spans="1:14" x14ac:dyDescent="0.25">
      <c r="A26" s="28"/>
      <c r="B26" s="27"/>
      <c r="C26" s="30"/>
      <c r="D26" s="27"/>
      <c r="E26" s="30"/>
      <c r="H26" s="12"/>
      <c r="I26" s="13"/>
      <c r="J26" s="13"/>
      <c r="K26" s="13"/>
      <c r="L26" s="13"/>
      <c r="M26" s="13"/>
      <c r="N26" s="13"/>
    </row>
    <row r="27" spans="1:14" x14ac:dyDescent="0.25">
      <c r="A27" s="28"/>
      <c r="B27" s="27"/>
      <c r="C27" s="30"/>
      <c r="D27" s="27"/>
      <c r="E27" s="30"/>
      <c r="H27" s="12"/>
      <c r="I27" s="13"/>
      <c r="J27" s="13"/>
      <c r="K27" s="13"/>
      <c r="L27" s="13"/>
      <c r="M27" s="13"/>
      <c r="N27" s="13"/>
    </row>
    <row r="28" spans="1:14" x14ac:dyDescent="0.25">
      <c r="A28" s="28"/>
      <c r="B28" s="27"/>
      <c r="C28" s="30"/>
      <c r="D28" s="27"/>
      <c r="E28" s="30"/>
      <c r="H28" s="12"/>
      <c r="I28" s="13"/>
      <c r="J28" s="13"/>
      <c r="K28" s="13"/>
      <c r="L28" s="13"/>
      <c r="M28" s="13"/>
      <c r="N28" s="13"/>
    </row>
    <row r="29" spans="1:14" x14ac:dyDescent="0.25">
      <c r="A29" s="29"/>
      <c r="B29" s="56"/>
      <c r="C29" s="56"/>
      <c r="D29" s="56"/>
      <c r="E29" s="56"/>
      <c r="H29" s="11"/>
      <c r="I29" s="54"/>
      <c r="J29" s="54"/>
      <c r="K29" s="54"/>
      <c r="L29" s="54"/>
      <c r="M29" s="54"/>
      <c r="N29" s="54"/>
    </row>
    <row r="30" spans="1:14" x14ac:dyDescent="0.25">
      <c r="A30" s="28"/>
      <c r="B30" s="28"/>
      <c r="C30" s="28"/>
      <c r="D30" s="28"/>
      <c r="E30" s="28"/>
      <c r="H30" s="12"/>
      <c r="I30" s="13"/>
      <c r="J30" s="13"/>
      <c r="K30" s="13"/>
      <c r="L30" s="13"/>
      <c r="M30" s="13"/>
      <c r="N30" s="13"/>
    </row>
    <row r="31" spans="1:14" x14ac:dyDescent="0.25">
      <c r="A31" s="28"/>
      <c r="B31" s="27"/>
      <c r="C31" s="30"/>
      <c r="D31" s="27"/>
      <c r="E31" s="30"/>
      <c r="H31" s="12"/>
      <c r="I31" s="13"/>
      <c r="J31" s="13"/>
      <c r="K31" s="13"/>
      <c r="L31" s="13"/>
      <c r="M31" s="13"/>
      <c r="N31" s="13"/>
    </row>
    <row r="32" spans="1:14" x14ac:dyDescent="0.25">
      <c r="A32" s="28"/>
      <c r="B32" s="27"/>
      <c r="C32" s="30"/>
      <c r="D32" s="27"/>
      <c r="E32" s="30"/>
      <c r="H32" s="12"/>
      <c r="I32" s="13"/>
      <c r="J32" s="13"/>
      <c r="K32" s="13"/>
      <c r="L32" s="13"/>
      <c r="M32" s="13"/>
      <c r="N32" s="13"/>
    </row>
    <row r="33" spans="1:14" x14ac:dyDescent="0.25">
      <c r="A33" s="28"/>
      <c r="B33" s="27"/>
      <c r="C33" s="30"/>
      <c r="D33" s="27"/>
      <c r="E33" s="30"/>
      <c r="H33" s="12"/>
      <c r="I33" s="13"/>
      <c r="J33" s="13"/>
      <c r="K33" s="13"/>
      <c r="L33" s="13"/>
      <c r="M33" s="13"/>
      <c r="N33" s="13"/>
    </row>
    <row r="34" spans="1:14" x14ac:dyDescent="0.25">
      <c r="A34" s="29"/>
      <c r="B34" s="56"/>
      <c r="C34" s="56"/>
      <c r="D34" s="56"/>
      <c r="E34" s="56"/>
      <c r="H34" s="11"/>
      <c r="I34" s="54"/>
      <c r="J34" s="54"/>
      <c r="K34" s="54"/>
      <c r="L34" s="54"/>
      <c r="M34" s="54"/>
      <c r="N34" s="54"/>
    </row>
    <row r="35" spans="1:14" x14ac:dyDescent="0.25">
      <c r="A35" s="28"/>
      <c r="B35" s="28"/>
      <c r="C35" s="28"/>
      <c r="D35" s="28"/>
      <c r="E35" s="28"/>
      <c r="H35" s="12"/>
      <c r="I35" s="13"/>
      <c r="J35" s="13"/>
      <c r="K35" s="13"/>
      <c r="L35" s="13"/>
      <c r="M35" s="13"/>
      <c r="N35" s="13"/>
    </row>
    <row r="36" spans="1:14" x14ac:dyDescent="0.25">
      <c r="A36" s="28"/>
      <c r="B36" s="27"/>
      <c r="C36" s="30"/>
      <c r="D36" s="27"/>
      <c r="E36" s="30"/>
      <c r="H36" s="12"/>
      <c r="I36" s="13"/>
      <c r="J36" s="13"/>
      <c r="K36" s="13"/>
      <c r="L36" s="13"/>
      <c r="M36" s="13"/>
      <c r="N36" s="13"/>
    </row>
    <row r="37" spans="1:14" x14ac:dyDescent="0.25">
      <c r="A37" s="28"/>
      <c r="B37" s="27"/>
      <c r="C37" s="30"/>
      <c r="D37" s="27"/>
      <c r="E37" s="30"/>
      <c r="H37" s="12"/>
      <c r="I37" s="13"/>
      <c r="J37" s="13"/>
      <c r="K37" s="13"/>
      <c r="L37" s="13"/>
      <c r="M37" s="13"/>
      <c r="N37" s="13"/>
    </row>
    <row r="38" spans="1:14" x14ac:dyDescent="0.25">
      <c r="A38" s="29"/>
      <c r="B38" s="56"/>
      <c r="C38" s="56"/>
      <c r="D38" s="56"/>
      <c r="E38" s="56"/>
      <c r="H38" s="11"/>
      <c r="I38" s="54"/>
      <c r="J38" s="54"/>
      <c r="K38" s="54"/>
      <c r="L38" s="54"/>
      <c r="M38" s="54"/>
      <c r="N38" s="54"/>
    </row>
    <row r="39" spans="1:14" x14ac:dyDescent="0.25">
      <c r="A39" s="28"/>
      <c r="B39" s="28"/>
      <c r="C39" s="28"/>
      <c r="D39" s="28"/>
      <c r="E39" s="28"/>
      <c r="H39" s="12"/>
      <c r="I39" s="13"/>
      <c r="J39" s="13"/>
      <c r="K39" s="13"/>
      <c r="L39" s="13"/>
      <c r="M39" s="13"/>
      <c r="N39" s="13"/>
    </row>
    <row r="40" spans="1:14" x14ac:dyDescent="0.25">
      <c r="A40" s="28"/>
      <c r="B40" s="27"/>
      <c r="C40" s="30"/>
      <c r="D40" s="27"/>
      <c r="E40" s="30"/>
      <c r="H40" s="12"/>
      <c r="I40" s="13"/>
      <c r="J40" s="13"/>
      <c r="K40" s="13"/>
      <c r="L40" s="13"/>
      <c r="M40" s="13"/>
      <c r="N40" s="13"/>
    </row>
    <row r="41" spans="1:14" x14ac:dyDescent="0.25">
      <c r="A41" s="28"/>
      <c r="B41" s="27"/>
      <c r="C41" s="30"/>
      <c r="D41" s="27"/>
      <c r="E41" s="30"/>
      <c r="H41" s="12"/>
      <c r="I41" s="13"/>
      <c r="J41" s="13"/>
      <c r="K41" s="13"/>
      <c r="L41" s="13"/>
      <c r="M41" s="13"/>
      <c r="N41" s="13"/>
    </row>
  </sheetData>
  <mergeCells count="14">
    <mergeCell ref="G1:I1"/>
    <mergeCell ref="I11:N11"/>
    <mergeCell ref="B15:E15"/>
    <mergeCell ref="I15:N15"/>
    <mergeCell ref="B34:E34"/>
    <mergeCell ref="I34:N34"/>
    <mergeCell ref="B38:E38"/>
    <mergeCell ref="I38:N38"/>
    <mergeCell ref="B20:E20"/>
    <mergeCell ref="I20:N20"/>
    <mergeCell ref="B24:E24"/>
    <mergeCell ref="I24:N24"/>
    <mergeCell ref="B29:E29"/>
    <mergeCell ref="I29:N29"/>
  </mergeCells>
  <hyperlinks>
    <hyperlink ref="E5" r:id="rId1" location=":~:text=KWD-,3.900,-Add" xr:uid="{5FA61FFB-FCAB-4F9D-A322-67D1C866CA63}"/>
    <hyperlink ref="C5" r:id="rId2" location=":~:text=KWD-,8.500,-Add" xr:uid="{FE65C004-6367-491C-A57D-CC395104CA92}"/>
  </hyperlinks>
  <pageMargins left="0.7" right="0.7" top="0.75" bottom="0.75" header="0.3" footer="0.3"/>
  <pageSetup paperSize="9" orientation="portrait" r:id="rId3"/>
  <headerFooter>
    <oddFooter>&amp;C&amp;"Times New Roman,Regular"&amp;10&amp;K7F7F7F &amp;"Calibri,Regular"&amp;10&amp;B&amp;K7F7F7FCentral Bank of Kuwait - Internal    &amp;B&amp;"Simplified Arabic,Regular"&amp;10&amp;K7F7F7Fبنك الكويت المركزي - داخلي</oddFooter>
    <evenFooter>&amp;C&amp;"Times New Roman,Regular"&amp;10&amp;K7F7F7F &amp;"Calibri,Regular"&amp;10&amp;B&amp;K7F7F7FCentral Bank of Kuwait - Internal    &amp;B&amp;"Simplified Arabic,Regular"&amp;10&amp;K7F7F7Fبنك الكويت المركزي - داخلي</evenFooter>
    <firstFooter>&amp;C&amp;"Times New Roman,Regular"&amp;10&amp;K7F7F7F &amp;"Calibri,Regular"&amp;10&amp;B&amp;K7F7F7FCentral Bank of Kuwait - Internal    &amp;B&amp;"Simplified Arabic,Regular"&amp;10&amp;K7F7F7Fبنك الكويت المركزي - داخلي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8BC2F-EF14-4161-BF1E-BD603AF6BB1A}">
  <sheetPr>
    <pageSetUpPr autoPageBreaks="0"/>
  </sheetPr>
  <dimension ref="A1:I13"/>
  <sheetViews>
    <sheetView workbookViewId="0">
      <selection activeCell="C24" sqref="C24"/>
    </sheetView>
  </sheetViews>
  <sheetFormatPr defaultRowHeight="15" x14ac:dyDescent="0.25"/>
  <cols>
    <col min="1" max="1" width="14.42578125" bestFit="1" customWidth="1"/>
    <col min="2" max="2" width="17.7109375" bestFit="1" customWidth="1"/>
    <col min="3" max="3" width="47" bestFit="1" customWidth="1"/>
    <col min="5" max="5" width="40.28515625" bestFit="1" customWidth="1"/>
    <col min="6" max="6" width="10.140625" bestFit="1" customWidth="1"/>
    <col min="7" max="8" width="10.7109375" bestFit="1" customWidth="1"/>
    <col min="9" max="9" width="11.28515625" customWidth="1"/>
    <col min="10" max="10" width="15.42578125" bestFit="1" customWidth="1"/>
    <col min="11" max="11" width="7.42578125" bestFit="1" customWidth="1"/>
    <col min="13" max="13" width="13.7109375" bestFit="1" customWidth="1"/>
    <col min="14" max="14" width="7.42578125" bestFit="1" customWidth="1"/>
  </cols>
  <sheetData>
    <row r="1" spans="1:9" x14ac:dyDescent="0.25">
      <c r="F1" s="42"/>
      <c r="G1" s="57"/>
      <c r="H1" s="57"/>
      <c r="I1" s="57"/>
    </row>
    <row r="2" spans="1:9" x14ac:dyDescent="0.25">
      <c r="A2" s="6" t="s">
        <v>26</v>
      </c>
      <c r="B2" s="9"/>
      <c r="C2" s="9"/>
      <c r="D2" s="9"/>
      <c r="E2" s="9"/>
      <c r="F2" s="42"/>
      <c r="G2" s="49"/>
      <c r="H2" s="49"/>
      <c r="I2" s="49"/>
    </row>
    <row r="3" spans="1:9" x14ac:dyDescent="0.25">
      <c r="A3" s="10"/>
      <c r="B3" s="55" t="s">
        <v>27</v>
      </c>
      <c r="C3" s="55"/>
      <c r="D3" s="55"/>
      <c r="E3" s="55"/>
      <c r="F3" s="42"/>
      <c r="G3" s="50"/>
      <c r="H3" s="42"/>
      <c r="I3" s="42"/>
    </row>
    <row r="4" spans="1:9" x14ac:dyDescent="0.25">
      <c r="A4" s="6"/>
      <c r="B4" s="14" t="s">
        <v>157</v>
      </c>
      <c r="C4" s="14" t="s">
        <v>179</v>
      </c>
      <c r="D4" s="14"/>
      <c r="E4" s="14" t="s">
        <v>180</v>
      </c>
      <c r="F4" s="42"/>
      <c r="G4" s="50"/>
      <c r="H4" s="42"/>
      <c r="I4" s="42"/>
    </row>
    <row r="5" spans="1:9" x14ac:dyDescent="0.25">
      <c r="A5" s="6"/>
      <c r="B5" t="s">
        <v>244</v>
      </c>
      <c r="C5" s="7" t="s">
        <v>247</v>
      </c>
      <c r="E5" s="7" t="s">
        <v>249</v>
      </c>
      <c r="F5" s="42"/>
      <c r="G5" s="50"/>
      <c r="H5" s="42"/>
      <c r="I5" s="42"/>
    </row>
    <row r="6" spans="1:9" x14ac:dyDescent="0.25">
      <c r="A6" s="6"/>
      <c r="B6" t="s">
        <v>245</v>
      </c>
      <c r="C6" s="7" t="s">
        <v>248</v>
      </c>
      <c r="E6" s="7" t="s">
        <v>250</v>
      </c>
      <c r="F6" s="42"/>
      <c r="G6" s="50"/>
      <c r="H6" s="42"/>
      <c r="I6" s="42"/>
    </row>
    <row r="10" spans="1:9" x14ac:dyDescent="0.25">
      <c r="A10" s="6" t="s">
        <v>31</v>
      </c>
      <c r="B10" s="9"/>
      <c r="C10" s="9" t="s">
        <v>179</v>
      </c>
      <c r="D10" s="9"/>
      <c r="E10" s="9" t="s">
        <v>180</v>
      </c>
    </row>
    <row r="11" spans="1:9" x14ac:dyDescent="0.25">
      <c r="A11" s="10"/>
      <c r="B11" s="55" t="s">
        <v>32</v>
      </c>
      <c r="C11" s="55"/>
      <c r="D11" s="55"/>
      <c r="E11" s="55"/>
    </row>
    <row r="12" spans="1:9" x14ac:dyDescent="0.25">
      <c r="A12" s="6"/>
      <c r="B12" s="14" t="s">
        <v>157</v>
      </c>
      <c r="C12" s="14" t="s">
        <v>179</v>
      </c>
      <c r="D12" s="14"/>
      <c r="E12" s="14" t="s">
        <v>180</v>
      </c>
    </row>
    <row r="13" spans="1:9" x14ac:dyDescent="0.25">
      <c r="A13" s="6"/>
      <c r="B13" t="s">
        <v>246</v>
      </c>
      <c r="C13" s="7" t="s">
        <v>252</v>
      </c>
      <c r="E13" s="7" t="s">
        <v>251</v>
      </c>
    </row>
  </sheetData>
  <mergeCells count="3">
    <mergeCell ref="B11:E11"/>
    <mergeCell ref="G1:I1"/>
    <mergeCell ref="B3:E3"/>
  </mergeCells>
  <hyperlinks>
    <hyperlink ref="E6" r:id="rId1" location=":~:text=Cotton%20Denim%20Shorts-,KWD26,-No%20rating%20value" display="https://www.nextdirect.com/kw/en/style/su707270/h18724#:~:text=Cotton%20Denim%20Shorts-,KWD26,-No%20rating%20value" xr:uid="{C9CB33A4-08DE-4330-85FD-75A659EE6965}"/>
    <hyperlink ref="C5" r:id="rId2" location=":~:text=KWD-,125.000,-Color%3A%20Blue" xr:uid="{35797255-3645-4F48-8156-46F5E59B702F}"/>
    <hyperlink ref="C6" r:id="rId3" location=":~:text=KWD-,165.000,-Color%3A%20BLACK" xr:uid="{151BE674-27EC-4DB9-997E-028F47E9FE29}"/>
    <hyperlink ref="E5" r:id="rId4" location="e88531:~:text=Shirts%202%20Pack-,KWD14.500,-Product%20Code%3A" display="https://www.nextdirect.com/kw/en/style/su394842/e88531#e88531:~:text=Shirts%202%20Pack-,KWD14.500,-Product%20Code%3A" xr:uid="{56636B84-B63E-4E20-91AD-880DA1661537}"/>
    <hyperlink ref="E13" r:id="rId5" location=":~:text=KWD-,45.000,-Color%3A%20Grey" xr:uid="{5630D39E-9E44-44CD-83F3-9356D091D77C}"/>
    <hyperlink ref="C13" r:id="rId6" location=":~:text=T%2DMarathon%20sneakers-,301.35,-KWD" xr:uid="{DE003895-12FC-41FE-8473-C5169216B0A8}"/>
  </hyperlinks>
  <pageMargins left="0.7" right="0.7" top="0.75" bottom="0.75" header="0.3" footer="0.3"/>
  <pageSetup paperSize="9" orientation="portrait" r:id="rId7"/>
  <headerFooter>
    <oddFooter>&amp;C&amp;"Times New Roman,Regular"&amp;10&amp;K7F7F7F &amp;"Calibri,Regular"&amp;10&amp;B&amp;K7F7F7FCentral Bank of Kuwait - Internal    &amp;B&amp;"Simplified Arabic,Regular"&amp;10&amp;K7F7F7Fبنك الكويت المركزي - داخلي</oddFooter>
    <evenFooter>&amp;C&amp;"Times New Roman,Regular"&amp;10&amp;K7F7F7F &amp;"Calibri,Regular"&amp;10&amp;B&amp;K7F7F7FCentral Bank of Kuwait - Internal    &amp;B&amp;"Simplified Arabic,Regular"&amp;10&amp;K7F7F7Fبنك الكويت المركزي - داخلي</evenFooter>
    <firstFooter>&amp;C&amp;"Times New Roman,Regular"&amp;10&amp;K7F7F7F &amp;"Calibri,Regular"&amp;10&amp;B&amp;K7F7F7FCentral Bank of Kuwait - Internal    &amp;B&amp;"Simplified Arabic,Regular"&amp;10&amp;K7F7F7Fبنك الكويت المركزي - داخلي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A283-6D1D-4640-98AD-013A2EFFF7FF}">
  <sheetPr>
    <pageSetUpPr autoPageBreaks="0"/>
  </sheetPr>
  <dimension ref="A1"/>
  <sheetViews>
    <sheetView workbookViewId="0">
      <selection activeCell="E14" sqref="E14"/>
    </sheetView>
  </sheetViews>
  <sheetFormatPr defaultRowHeight="15" x14ac:dyDescent="0.25"/>
  <sheetData/>
  <pageMargins left="0.7" right="0.7" top="0.75" bottom="0.75" header="0.3" footer="0.3"/>
  <pageSetup paperSize="9" orientation="portrait" r:id="rId1"/>
  <headerFooter>
    <oddFooter>&amp;C&amp;"Times New Roman,Regular"&amp;10&amp;K7F7F7F &amp;"Calibri,Regular"&amp;10&amp;B&amp;K7F7F7FCentral Bank of Kuwait - Internal    &amp;B&amp;"Simplified Arabic,Regular"&amp;10&amp;K7F7F7Fبنك الكويت المركزي - داخلي</oddFooter>
    <evenFooter>&amp;C&amp;"Times New Roman,Regular"&amp;10&amp;K7F7F7F &amp;"Calibri,Regular"&amp;10&amp;B&amp;K7F7F7FCentral Bank of Kuwait - Internal    &amp;B&amp;"Simplified Arabic,Regular"&amp;10&amp;K7F7F7Fبنك الكويت المركزي - داخلي</evenFooter>
    <firstFooter>&amp;C&amp;"Times New Roman,Regular"&amp;10&amp;K7F7F7F &amp;"Calibri,Regular"&amp;10&amp;B&amp;K7F7F7FCentral Bank of Kuwait - Internal    &amp;B&amp;"Simplified Arabic,Regular"&amp;10&amp;K7F7F7Fبنك الكويت المركزي - داخلي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75D3B-AF4B-4C65-9830-27A6DD8A8824}">
  <sheetPr>
    <pageSetUpPr autoPageBreaks="0"/>
  </sheetPr>
  <dimension ref="A1:P22"/>
  <sheetViews>
    <sheetView workbookViewId="0">
      <selection activeCell="C27" sqref="C27"/>
    </sheetView>
  </sheetViews>
  <sheetFormatPr defaultRowHeight="15" x14ac:dyDescent="0.25"/>
  <cols>
    <col min="1" max="1" width="14.42578125" bestFit="1" customWidth="1"/>
    <col min="2" max="2" width="17.7109375" bestFit="1" customWidth="1"/>
    <col min="3" max="3" width="47" bestFit="1" customWidth="1"/>
    <col min="5" max="5" width="50.85546875" bestFit="1" customWidth="1"/>
    <col min="6" max="6" width="10.140625" bestFit="1" customWidth="1"/>
    <col min="7" max="8" width="10.7109375" bestFit="1" customWidth="1"/>
    <col min="9" max="9" width="11.28515625" customWidth="1"/>
    <col min="10" max="10" width="15.42578125" bestFit="1" customWidth="1"/>
    <col min="11" max="11" width="7.42578125" bestFit="1" customWidth="1"/>
    <col min="13" max="13" width="13.7109375" bestFit="1" customWidth="1"/>
    <col min="14" max="14" width="7.42578125" bestFit="1" customWidth="1"/>
  </cols>
  <sheetData>
    <row r="1" spans="1:16" x14ac:dyDescent="0.25">
      <c r="G1" s="42"/>
      <c r="H1" s="51"/>
      <c r="I1" s="51"/>
      <c r="J1" s="51"/>
    </row>
    <row r="2" spans="1:16" ht="60" x14ac:dyDescent="0.25">
      <c r="A2" s="33" t="s">
        <v>46</v>
      </c>
      <c r="B2" s="9"/>
      <c r="C2" s="9"/>
      <c r="D2" s="9"/>
      <c r="E2" s="9"/>
      <c r="G2" s="42"/>
      <c r="H2" s="49"/>
      <c r="I2" s="49"/>
      <c r="J2" s="49"/>
      <c r="O2" s="41"/>
      <c r="P2" s="42"/>
    </row>
    <row r="3" spans="1:16" x14ac:dyDescent="0.25">
      <c r="A3" s="10"/>
      <c r="B3" s="55" t="s">
        <v>47</v>
      </c>
      <c r="C3" s="55"/>
      <c r="D3" s="55"/>
      <c r="E3" s="55"/>
      <c r="G3" s="42"/>
      <c r="H3" s="50"/>
      <c r="I3" s="42"/>
      <c r="J3" s="42"/>
      <c r="O3" s="42"/>
      <c r="P3" s="42"/>
    </row>
    <row r="4" spans="1:16" x14ac:dyDescent="0.25">
      <c r="A4" s="6"/>
      <c r="B4" s="14" t="s">
        <v>157</v>
      </c>
      <c r="C4" s="14" t="s">
        <v>179</v>
      </c>
      <c r="D4" s="14"/>
      <c r="E4" s="14" t="s">
        <v>180</v>
      </c>
      <c r="G4" s="42"/>
      <c r="H4" s="50"/>
      <c r="I4" s="42"/>
      <c r="J4" s="42"/>
      <c r="O4" s="42"/>
      <c r="P4" s="42"/>
    </row>
    <row r="5" spans="1:16" x14ac:dyDescent="0.25">
      <c r="A5" s="6"/>
      <c r="B5" t="s">
        <v>255</v>
      </c>
      <c r="C5" s="37" t="s">
        <v>256</v>
      </c>
      <c r="E5" s="37" t="s">
        <v>257</v>
      </c>
      <c r="G5" s="42"/>
      <c r="H5" s="50"/>
      <c r="I5" s="42"/>
      <c r="J5" s="42"/>
      <c r="O5" s="42"/>
      <c r="P5" s="42"/>
    </row>
    <row r="6" spans="1:16" x14ac:dyDescent="0.25">
      <c r="H6" s="12"/>
      <c r="I6" s="13"/>
      <c r="J6" s="13"/>
      <c r="K6" s="13"/>
      <c r="L6" s="13"/>
      <c r="M6" s="13"/>
      <c r="N6" s="13"/>
      <c r="O6" s="41"/>
      <c r="P6" s="42"/>
    </row>
    <row r="7" spans="1:16" x14ac:dyDescent="0.25">
      <c r="H7" s="12"/>
      <c r="J7" s="13"/>
      <c r="K7" s="13"/>
      <c r="L7" s="13"/>
      <c r="M7" s="13"/>
      <c r="N7" s="13"/>
      <c r="O7" s="42"/>
      <c r="P7" s="42"/>
    </row>
    <row r="8" spans="1:16" x14ac:dyDescent="0.25">
      <c r="H8" s="12"/>
      <c r="I8" s="13"/>
      <c r="J8" s="13"/>
      <c r="K8" s="13"/>
      <c r="L8" s="13"/>
      <c r="M8" s="13"/>
      <c r="N8" s="13"/>
      <c r="O8" s="42"/>
      <c r="P8" s="42"/>
    </row>
    <row r="9" spans="1:16" ht="30" x14ac:dyDescent="0.25">
      <c r="A9" s="46" t="s">
        <v>52</v>
      </c>
      <c r="B9" s="38"/>
      <c r="C9" s="38"/>
      <c r="D9" s="38"/>
      <c r="E9" s="38"/>
    </row>
    <row r="10" spans="1:16" x14ac:dyDescent="0.25">
      <c r="A10" s="39"/>
      <c r="B10" s="55" t="s">
        <v>53</v>
      </c>
      <c r="C10" s="55"/>
      <c r="D10" s="55"/>
      <c r="E10" s="55"/>
    </row>
    <row r="11" spans="1:16" x14ac:dyDescent="0.25">
      <c r="A11" s="36"/>
      <c r="B11" s="43" t="s">
        <v>157</v>
      </c>
      <c r="C11" s="43" t="s">
        <v>179</v>
      </c>
      <c r="D11" s="43"/>
      <c r="E11" s="43" t="s">
        <v>180</v>
      </c>
    </row>
    <row r="12" spans="1:16" x14ac:dyDescent="0.25">
      <c r="A12" s="36"/>
      <c r="B12" s="34"/>
      <c r="C12" s="37" t="s">
        <v>259</v>
      </c>
      <c r="D12" s="34"/>
      <c r="E12" s="37" t="s">
        <v>258</v>
      </c>
    </row>
    <row r="13" spans="1:16" x14ac:dyDescent="0.25">
      <c r="A13" s="34"/>
      <c r="B13" s="34"/>
      <c r="C13" s="34"/>
      <c r="D13" s="34"/>
      <c r="E13" s="34"/>
    </row>
    <row r="14" spans="1:16" x14ac:dyDescent="0.25">
      <c r="A14" s="46" t="s">
        <v>56</v>
      </c>
      <c r="B14" s="36"/>
      <c r="C14" s="36"/>
      <c r="D14" s="36"/>
      <c r="E14" s="36"/>
    </row>
    <row r="15" spans="1:16" x14ac:dyDescent="0.25">
      <c r="A15" s="39"/>
      <c r="B15" s="55" t="s">
        <v>57</v>
      </c>
      <c r="C15" s="55"/>
      <c r="D15" s="55"/>
      <c r="E15" s="55"/>
    </row>
    <row r="16" spans="1:16" x14ac:dyDescent="0.25">
      <c r="A16" s="36"/>
      <c r="B16" s="43" t="s">
        <v>157</v>
      </c>
      <c r="C16" s="43" t="s">
        <v>179</v>
      </c>
      <c r="D16" s="43"/>
      <c r="E16" s="43" t="s">
        <v>180</v>
      </c>
    </row>
    <row r="17" spans="1:5" x14ac:dyDescent="0.25">
      <c r="A17" s="36"/>
      <c r="B17" s="41"/>
      <c r="C17" s="37" t="s">
        <v>278</v>
      </c>
      <c r="D17" s="41"/>
      <c r="E17" s="37" t="s">
        <v>277</v>
      </c>
    </row>
    <row r="18" spans="1:5" x14ac:dyDescent="0.25">
      <c r="A18" s="40"/>
      <c r="B18" s="44"/>
      <c r="C18" s="44"/>
      <c r="D18" s="44"/>
      <c r="E18" s="44"/>
    </row>
    <row r="19" spans="1:5" x14ac:dyDescent="0.25">
      <c r="A19" s="41"/>
      <c r="B19" s="44"/>
      <c r="C19" s="44"/>
      <c r="D19" s="44"/>
      <c r="E19" s="44"/>
    </row>
    <row r="20" spans="1:5" x14ac:dyDescent="0.25">
      <c r="A20" s="41"/>
      <c r="B20" s="41"/>
      <c r="C20" s="41"/>
      <c r="D20" s="41"/>
      <c r="E20" s="41"/>
    </row>
    <row r="21" spans="1:5" x14ac:dyDescent="0.25">
      <c r="A21" s="41"/>
      <c r="B21" s="42"/>
      <c r="C21" s="45"/>
      <c r="D21" s="42"/>
      <c r="E21" s="45"/>
    </row>
    <row r="22" spans="1:5" x14ac:dyDescent="0.25">
      <c r="A22" s="41"/>
      <c r="B22" s="40"/>
      <c r="C22" s="40"/>
      <c r="D22" s="40"/>
      <c r="E22" s="40"/>
    </row>
  </sheetData>
  <mergeCells count="3">
    <mergeCell ref="B3:E3"/>
    <mergeCell ref="B15:E15"/>
    <mergeCell ref="B10:E10"/>
  </mergeCells>
  <hyperlinks>
    <hyperlink ref="C5" r:id="rId1" location=":~:text=SKU%2397013559-,849.000,-KD" xr:uid="{CF6B6EF4-14A1-4725-AD8A-028751F0B2A3}"/>
    <hyperlink ref="E5" r:id="rId2" location=":~:text=SKU%2397012659-,515.000,-KD" xr:uid="{587E65A1-1517-4F37-A647-6DD3172D9263}"/>
    <hyperlink ref="E12" r:id="rId3" location=":~:text=Review%20this%20product-,25.250,-KD" xr:uid="{345CD271-9F8B-472E-AD67-E8C7619160DC}"/>
    <hyperlink ref="C12" r:id="rId4" location=":~:text=Review%20this%20product-,125.000,-KD" xr:uid="{F1CA41D7-29F5-4A40-A6C0-267E9AFFB9DE}"/>
    <hyperlink ref="E17" r:id="rId5" location=":~:text=SKU%2397013625-,275.000,-KD" xr:uid="{D7C6126E-3F36-479F-BD53-20254FB2342A}"/>
    <hyperlink ref="C17" r:id="rId6" location=":~:text=SKU%2397014163-,845.000,-KD" xr:uid="{4C7FF6F8-258B-48A2-9876-94421CB59A61}"/>
  </hyperlinks>
  <pageMargins left="0.7" right="0.7" top="0.75" bottom="0.75" header="0.3" footer="0.3"/>
  <pageSetup paperSize="9" orientation="portrait" r:id="rId7"/>
  <headerFooter>
    <oddFooter>&amp;C&amp;"Times New Roman,Regular"&amp;10&amp;K7F7F7F &amp;"Calibri,Regular"&amp;10&amp;B&amp;K7F7F7FCentral Bank of Kuwait - Internal    &amp;B&amp;"Simplified Arabic,Regular"&amp;10&amp;K7F7F7Fبنك الكويت المركزي - داخلي</oddFooter>
    <evenFooter>&amp;C&amp;"Times New Roman,Regular"&amp;10&amp;K7F7F7F &amp;"Calibri,Regular"&amp;10&amp;B&amp;K7F7F7FCentral Bank of Kuwait - Internal    &amp;B&amp;"Simplified Arabic,Regular"&amp;10&amp;K7F7F7Fبنك الكويت المركزي - داخلي</evenFooter>
    <firstFooter>&amp;C&amp;"Times New Roman,Regular"&amp;10&amp;K7F7F7F &amp;"Calibri,Regular"&amp;10&amp;B&amp;K7F7F7FCentral Bank of Kuwait - Internal    &amp;B&amp;"Simplified Arabic,Regular"&amp;10&amp;K7F7F7Fبنك الكويت المركزي - داخلي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85374-B085-4DFF-9345-4393A087872C}">
  <sheetPr>
    <pageSetUpPr autoPageBreaks="0"/>
  </sheetPr>
  <dimension ref="A1:O17"/>
  <sheetViews>
    <sheetView workbookViewId="0">
      <selection activeCell="C16" sqref="C16"/>
    </sheetView>
  </sheetViews>
  <sheetFormatPr defaultRowHeight="15" x14ac:dyDescent="0.25"/>
  <cols>
    <col min="1" max="1" width="14.42578125" style="34" bestFit="1" customWidth="1"/>
    <col min="2" max="2" width="17.7109375" style="34" bestFit="1" customWidth="1"/>
    <col min="3" max="3" width="47" style="34" bestFit="1" customWidth="1"/>
    <col min="4" max="4" width="9.140625" style="34"/>
    <col min="5" max="5" width="40.28515625" style="34" bestFit="1" customWidth="1"/>
    <col min="6" max="6" width="10.140625" style="34" bestFit="1" customWidth="1"/>
    <col min="7" max="8" width="10.7109375" style="34" bestFit="1" customWidth="1"/>
    <col min="9" max="9" width="11.28515625" style="34" customWidth="1"/>
    <col min="10" max="10" width="15.42578125" style="34" bestFit="1" customWidth="1"/>
    <col min="11" max="11" width="7.42578125" style="34" bestFit="1" customWidth="1"/>
    <col min="12" max="12" width="9.140625" style="34"/>
    <col min="13" max="13" width="13.7109375" style="34" bestFit="1" customWidth="1"/>
    <col min="14" max="14" width="7.42578125" style="34" bestFit="1" customWidth="1"/>
    <col min="15" max="16384" width="9.140625" style="34"/>
  </cols>
  <sheetData>
    <row r="1" spans="1:15" x14ac:dyDescent="0.25">
      <c r="F1" s="42"/>
      <c r="G1" s="57"/>
      <c r="H1" s="57"/>
      <c r="I1" s="57"/>
    </row>
    <row r="2" spans="1:15" ht="75" x14ac:dyDescent="0.25">
      <c r="A2" s="47" t="s">
        <v>64</v>
      </c>
      <c r="B2" s="38"/>
      <c r="C2" s="38"/>
      <c r="D2" s="38"/>
      <c r="E2" s="38"/>
      <c r="F2" s="42"/>
      <c r="G2" s="49"/>
      <c r="H2" s="49"/>
      <c r="I2" s="49"/>
      <c r="O2" s="41"/>
    </row>
    <row r="3" spans="1:15" x14ac:dyDescent="0.25">
      <c r="A3" s="39"/>
      <c r="B3" s="55" t="s">
        <v>65</v>
      </c>
      <c r="C3" s="55"/>
      <c r="D3" s="55"/>
      <c r="E3" s="55"/>
      <c r="F3" s="42"/>
      <c r="G3" s="50"/>
      <c r="H3" s="42"/>
      <c r="I3" s="42"/>
      <c r="O3" s="42"/>
    </row>
    <row r="4" spans="1:15" x14ac:dyDescent="0.25">
      <c r="A4" s="36"/>
      <c r="B4" s="43" t="s">
        <v>157</v>
      </c>
      <c r="C4" s="43" t="s">
        <v>179</v>
      </c>
      <c r="D4" s="43"/>
      <c r="E4" s="43" t="s">
        <v>180</v>
      </c>
      <c r="F4" s="42"/>
      <c r="G4" s="50"/>
      <c r="H4" s="42"/>
      <c r="I4" s="42"/>
      <c r="O4" s="42"/>
    </row>
    <row r="5" spans="1:15" x14ac:dyDescent="0.25">
      <c r="A5" s="36"/>
      <c r="C5" s="37" t="s">
        <v>260</v>
      </c>
      <c r="E5" s="37" t="s">
        <v>261</v>
      </c>
      <c r="F5" s="42"/>
      <c r="G5" s="50"/>
      <c r="H5" s="42"/>
      <c r="I5" s="42"/>
      <c r="O5" s="42"/>
    </row>
    <row r="6" spans="1:15" x14ac:dyDescent="0.25">
      <c r="A6" s="40"/>
      <c r="B6" s="44"/>
      <c r="C6" s="44"/>
      <c r="D6" s="44"/>
      <c r="E6" s="44"/>
    </row>
    <row r="7" spans="1:15" ht="60" customHeight="1" x14ac:dyDescent="0.25">
      <c r="A7" s="48"/>
      <c r="B7" s="48"/>
      <c r="C7" s="48"/>
      <c r="D7" s="48"/>
      <c r="E7" s="48"/>
    </row>
    <row r="8" spans="1:15" x14ac:dyDescent="0.25">
      <c r="A8" s="48"/>
      <c r="B8" s="48"/>
      <c r="C8" s="48"/>
      <c r="D8" s="48"/>
      <c r="E8" s="48"/>
    </row>
    <row r="9" spans="1:15" x14ac:dyDescent="0.25">
      <c r="A9" s="48"/>
      <c r="B9" s="48"/>
      <c r="C9" s="48"/>
      <c r="D9" s="48"/>
      <c r="E9" s="48"/>
    </row>
    <row r="10" spans="1:15" x14ac:dyDescent="0.25">
      <c r="A10" s="48"/>
      <c r="B10" s="48"/>
      <c r="C10" s="48"/>
      <c r="D10" s="48"/>
      <c r="E10" s="48"/>
    </row>
    <row r="11" spans="1:15" x14ac:dyDescent="0.25">
      <c r="A11" s="41"/>
      <c r="B11" s="54"/>
      <c r="C11" s="54"/>
      <c r="D11" s="54"/>
      <c r="E11" s="54"/>
    </row>
    <row r="12" spans="1:15" x14ac:dyDescent="0.25">
      <c r="A12" s="41"/>
      <c r="B12" s="41"/>
      <c r="C12" s="41"/>
      <c r="D12" s="41"/>
      <c r="E12" s="41"/>
    </row>
    <row r="13" spans="1:15" x14ac:dyDescent="0.25">
      <c r="A13" s="41"/>
      <c r="B13" s="42"/>
      <c r="C13" s="45"/>
      <c r="D13" s="42"/>
      <c r="E13" s="45"/>
    </row>
    <row r="14" spans="1:15" x14ac:dyDescent="0.25">
      <c r="A14" s="41"/>
      <c r="B14" s="40"/>
      <c r="C14" s="40"/>
      <c r="D14" s="40"/>
      <c r="E14" s="40"/>
    </row>
    <row r="15" spans="1:15" x14ac:dyDescent="0.25">
      <c r="A15" s="41"/>
      <c r="B15" s="41"/>
      <c r="C15" s="41"/>
      <c r="D15" s="41"/>
      <c r="E15" s="41"/>
    </row>
    <row r="16" spans="1:15" x14ac:dyDescent="0.25">
      <c r="A16" s="41"/>
      <c r="B16" s="42"/>
      <c r="C16" s="45"/>
      <c r="D16" s="42"/>
      <c r="E16" s="45"/>
    </row>
    <row r="17" spans="1:5" x14ac:dyDescent="0.25">
      <c r="A17" s="41"/>
      <c r="B17" s="42"/>
      <c r="C17" s="45"/>
      <c r="D17" s="42"/>
      <c r="E17" s="45"/>
    </row>
  </sheetData>
  <mergeCells count="3">
    <mergeCell ref="B11:E11"/>
    <mergeCell ref="G1:I1"/>
    <mergeCell ref="B3:E3"/>
  </mergeCells>
  <hyperlinks>
    <hyperlink ref="C5" r:id="rId1" location=":~:text=KD-,0.910,-4%20interest%2Dfree" xr:uid="{68FD133F-DEB6-46E9-A11B-65DE0F8A89F9}"/>
    <hyperlink ref="E5" r:id="rId2" location=":~:text=KD-,0.640,-4%20interest%2Dfree" xr:uid="{FF114CA3-0710-41C2-9B10-50B16A015957}"/>
  </hyperlinks>
  <pageMargins left="0.7" right="0.7" top="0.75" bottom="0.75" header="0.3" footer="0.3"/>
  <pageSetup paperSize="9" orientation="portrait" r:id="rId3"/>
  <headerFooter>
    <oddFooter>&amp;C&amp;"Times New Roman,Regular"&amp;10&amp;K7F7F7F &amp;"Calibri,Regular"&amp;10&amp;B&amp;K7F7F7FCentral Bank of Kuwait - Internal    &amp;B&amp;"Simplified Arabic,Regular"&amp;10&amp;K7F7F7Fبنك الكويت المركزي - داخلي</oddFooter>
    <evenFooter>&amp;C&amp;"Times New Roman,Regular"&amp;10&amp;K7F7F7F &amp;"Calibri,Regular"&amp;10&amp;B&amp;K7F7F7FCentral Bank of Kuwait - Internal    &amp;B&amp;"Simplified Arabic,Regular"&amp;10&amp;K7F7F7Fبنك الكويت المركزي - داخلي</evenFooter>
    <firstFooter>&amp;C&amp;"Times New Roman,Regular"&amp;10&amp;K7F7F7F &amp;"Calibri,Regular"&amp;10&amp;B&amp;K7F7F7FCentral Bank of Kuwait - Internal    &amp;B&amp;"Simplified Arabic,Regular"&amp;10&amp;K7F7F7Fبنك الكويت المركزي - داخلي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B247-6C24-4B69-ADAA-3728F0C0FB04}">
  <sheetPr>
    <pageSetUpPr autoPageBreaks="0"/>
  </sheetPr>
  <dimension ref="A1:P25"/>
  <sheetViews>
    <sheetView zoomScale="85" zoomScaleNormal="85" workbookViewId="0">
      <selection activeCell="E27" sqref="E27"/>
    </sheetView>
  </sheetViews>
  <sheetFormatPr defaultRowHeight="15" x14ac:dyDescent="0.25"/>
  <cols>
    <col min="1" max="1" width="14.42578125" style="34" bestFit="1" customWidth="1"/>
    <col min="2" max="2" width="17.7109375" style="34" bestFit="1" customWidth="1"/>
    <col min="3" max="3" width="47" style="34" bestFit="1" customWidth="1"/>
    <col min="4" max="4" width="9.140625" style="34"/>
    <col min="5" max="5" width="40.28515625" style="34" bestFit="1" customWidth="1"/>
    <col min="6" max="6" width="10.140625" style="34" bestFit="1" customWidth="1"/>
    <col min="7" max="8" width="10.7109375" style="34" bestFit="1" customWidth="1"/>
    <col min="9" max="9" width="11.28515625" style="34" customWidth="1"/>
    <col min="10" max="10" width="15.42578125" style="34" bestFit="1" customWidth="1"/>
    <col min="11" max="11" width="7.42578125" style="34" bestFit="1" customWidth="1"/>
    <col min="12" max="12" width="9.140625" style="34"/>
    <col min="13" max="13" width="13.7109375" style="34" bestFit="1" customWidth="1"/>
    <col min="14" max="14" width="7.42578125" style="34" bestFit="1" customWidth="1"/>
    <col min="15" max="16384" width="9.140625" style="34"/>
  </cols>
  <sheetData>
    <row r="1" spans="1:16" x14ac:dyDescent="0.25">
      <c r="F1" s="42"/>
      <c r="G1" s="57"/>
      <c r="H1" s="57"/>
      <c r="I1" s="57"/>
    </row>
    <row r="2" spans="1:16" ht="30" x14ac:dyDescent="0.25">
      <c r="A2" s="47" t="s">
        <v>74</v>
      </c>
      <c r="B2" s="38"/>
      <c r="C2" s="38"/>
      <c r="D2" s="38"/>
      <c r="E2" s="38"/>
      <c r="F2" s="42"/>
      <c r="G2" s="49"/>
      <c r="H2" s="49"/>
      <c r="I2" s="49"/>
      <c r="O2" s="41"/>
      <c r="P2" s="42"/>
    </row>
    <row r="3" spans="1:16" x14ac:dyDescent="0.25">
      <c r="A3" s="36"/>
      <c r="B3" s="55" t="s">
        <v>76</v>
      </c>
      <c r="C3" s="55"/>
      <c r="D3" s="55"/>
      <c r="E3" s="55"/>
      <c r="O3" s="42"/>
      <c r="P3" s="42"/>
    </row>
    <row r="4" spans="1:16" x14ac:dyDescent="0.25">
      <c r="A4" s="36"/>
      <c r="B4" s="43" t="s">
        <v>157</v>
      </c>
      <c r="C4" s="43" t="s">
        <v>179</v>
      </c>
      <c r="D4" s="43"/>
      <c r="E4" s="43" t="s">
        <v>180</v>
      </c>
      <c r="O4" s="42"/>
      <c r="P4" s="42"/>
    </row>
    <row r="5" spans="1:16" x14ac:dyDescent="0.25">
      <c r="A5" s="36"/>
      <c r="C5" s="37" t="s">
        <v>263</v>
      </c>
      <c r="E5" s="37" t="s">
        <v>262</v>
      </c>
      <c r="O5" s="41"/>
      <c r="P5" s="42"/>
    </row>
    <row r="6" spans="1:16" x14ac:dyDescent="0.25">
      <c r="H6" s="40"/>
      <c r="I6" s="54"/>
      <c r="J6" s="54"/>
      <c r="K6" s="54"/>
      <c r="L6" s="54"/>
      <c r="M6" s="54"/>
      <c r="N6" s="54"/>
      <c r="O6" s="42"/>
      <c r="P6" s="42"/>
    </row>
    <row r="7" spans="1:16" ht="60" x14ac:dyDescent="0.25">
      <c r="A7" s="47" t="s">
        <v>77</v>
      </c>
      <c r="B7" s="38"/>
      <c r="C7" s="38"/>
      <c r="D7" s="38"/>
      <c r="E7" s="38"/>
      <c r="H7" s="41"/>
      <c r="I7" s="42"/>
      <c r="J7" s="42"/>
      <c r="K7" s="42"/>
      <c r="L7" s="42"/>
      <c r="M7" s="42"/>
      <c r="N7" s="42"/>
      <c r="O7" s="42"/>
      <c r="P7" s="42"/>
    </row>
    <row r="8" spans="1:16" x14ac:dyDescent="0.25">
      <c r="A8" s="39"/>
      <c r="B8" s="55" t="s">
        <v>78</v>
      </c>
      <c r="C8" s="55"/>
      <c r="D8" s="55"/>
      <c r="E8" s="55"/>
      <c r="H8" s="41"/>
      <c r="I8" s="42"/>
      <c r="J8" s="42"/>
      <c r="K8" s="42"/>
      <c r="L8" s="42"/>
      <c r="M8" s="42"/>
      <c r="N8" s="42"/>
      <c r="O8" s="42"/>
      <c r="P8" s="42"/>
    </row>
    <row r="9" spans="1:16" x14ac:dyDescent="0.25">
      <c r="A9" s="36"/>
      <c r="B9" s="43" t="s">
        <v>157</v>
      </c>
      <c r="C9" s="43" t="s">
        <v>179</v>
      </c>
      <c r="D9" s="43"/>
      <c r="E9" s="43" t="s">
        <v>180</v>
      </c>
      <c r="H9" s="41"/>
      <c r="I9" s="42"/>
      <c r="J9" s="42"/>
      <c r="K9" s="42"/>
      <c r="L9" s="42"/>
      <c r="M9" s="42"/>
      <c r="N9" s="42"/>
      <c r="O9" s="41"/>
    </row>
    <row r="10" spans="1:16" x14ac:dyDescent="0.25">
      <c r="A10" s="36"/>
      <c r="C10" s="37" t="s">
        <v>265</v>
      </c>
      <c r="E10" s="37" t="s">
        <v>264</v>
      </c>
      <c r="H10" s="40"/>
      <c r="I10" s="54"/>
      <c r="J10" s="54"/>
      <c r="K10" s="54"/>
      <c r="L10" s="54"/>
      <c r="M10" s="54"/>
      <c r="N10" s="54"/>
      <c r="O10" s="42"/>
    </row>
    <row r="15" spans="1:16" ht="27.75" customHeight="1" x14ac:dyDescent="0.25"/>
    <row r="16" spans="1:16" hidden="1" x14ac:dyDescent="0.25">
      <c r="A16" s="36"/>
      <c r="B16" s="41"/>
      <c r="C16" s="41"/>
      <c r="D16" s="41"/>
      <c r="E16" s="41"/>
    </row>
    <row r="17" spans="1:5" x14ac:dyDescent="0.25">
      <c r="A17" s="48"/>
      <c r="B17" s="48"/>
      <c r="C17" s="48"/>
      <c r="D17" s="48"/>
      <c r="E17" s="48"/>
    </row>
    <row r="18" spans="1:5" x14ac:dyDescent="0.25">
      <c r="A18" s="48"/>
      <c r="B18" s="48"/>
      <c r="C18" s="48"/>
      <c r="D18" s="48"/>
      <c r="E18" s="48"/>
    </row>
    <row r="19" spans="1:5" x14ac:dyDescent="0.25">
      <c r="A19" s="41"/>
      <c r="B19" s="54"/>
      <c r="C19" s="54"/>
      <c r="D19" s="54"/>
      <c r="E19" s="54"/>
    </row>
    <row r="20" spans="1:5" x14ac:dyDescent="0.25">
      <c r="A20" s="41"/>
      <c r="B20" s="41"/>
      <c r="C20" s="41"/>
      <c r="D20" s="41"/>
      <c r="E20" s="41"/>
    </row>
    <row r="21" spans="1:5" x14ac:dyDescent="0.25">
      <c r="A21" s="41"/>
      <c r="B21" s="42"/>
      <c r="C21" s="45"/>
      <c r="D21" s="42"/>
      <c r="E21" s="45"/>
    </row>
    <row r="22" spans="1:5" x14ac:dyDescent="0.25">
      <c r="A22" s="41"/>
      <c r="B22" s="40"/>
      <c r="C22" s="40"/>
      <c r="D22" s="40"/>
      <c r="E22" s="40"/>
    </row>
    <row r="23" spans="1:5" x14ac:dyDescent="0.25">
      <c r="A23" s="41"/>
      <c r="B23" s="41"/>
      <c r="C23" s="41"/>
      <c r="D23" s="41"/>
      <c r="E23" s="41"/>
    </row>
    <row r="24" spans="1:5" x14ac:dyDescent="0.25">
      <c r="A24" s="41"/>
      <c r="B24" s="42"/>
      <c r="C24" s="45"/>
      <c r="D24" s="42"/>
      <c r="E24" s="45"/>
    </row>
    <row r="25" spans="1:5" x14ac:dyDescent="0.25">
      <c r="A25" s="41"/>
      <c r="B25" s="42"/>
      <c r="C25" s="45"/>
      <c r="D25" s="42"/>
      <c r="E25" s="45"/>
    </row>
  </sheetData>
  <mergeCells count="6">
    <mergeCell ref="B19:E19"/>
    <mergeCell ref="I10:N10"/>
    <mergeCell ref="B8:E8"/>
    <mergeCell ref="G1:I1"/>
    <mergeCell ref="B3:E3"/>
    <mergeCell ref="I6:N6"/>
  </mergeCells>
  <hyperlinks>
    <hyperlink ref="E5" r:id="rId1" location=":~:text=2%20Assorted%20Color-,69.000,-KWD" xr:uid="{F51D7494-8D42-4C7C-9D4B-D0F02D11D3DD}"/>
    <hyperlink ref="C5" r:id="rId2" location=":~:text=19%2DMO3A%20Assorted-,145.000,-KWD" xr:uid="{F919E8DA-AF15-4AFE-B91D-F84415B4643E}"/>
    <hyperlink ref="E10" r:id="rId3" location=":~:text=%C2%A010.000%20KWD-,45.000,-KWD" xr:uid="{95498A0D-153E-4B28-8126-4D3F6E7966A8}"/>
    <hyperlink ref="C10" r:id="rId4" location=":~:text=%C2%A010.000%20KWD-,70.000,-KWD" xr:uid="{8DC79809-CFA8-4B0A-A501-6A21F5A293E9}"/>
  </hyperlinks>
  <pageMargins left="0.7" right="0.7" top="0.75" bottom="0.75" header="0.3" footer="0.3"/>
  <pageSetup paperSize="9" orientation="portrait" r:id="rId5"/>
  <headerFooter>
    <oddFooter>&amp;C&amp;"Times New Roman,Regular"&amp;10&amp;K7F7F7F &amp;"Calibri,Regular"&amp;10&amp;B&amp;K7F7F7FCentral Bank of Kuwait - Internal    &amp;B&amp;"Simplified Arabic,Regular"&amp;10&amp;K7F7F7Fبنك الكويت المركزي - داخلي</oddFooter>
    <evenFooter>&amp;C&amp;"Times New Roman,Regular"&amp;10&amp;K7F7F7F &amp;"Calibri,Regular"&amp;10&amp;B&amp;K7F7F7FCentral Bank of Kuwait - Internal    &amp;B&amp;"Simplified Arabic,Regular"&amp;10&amp;K7F7F7Fبنك الكويت المركزي - داخلي</evenFooter>
    <firstFooter>&amp;C&amp;"Times New Roman,Regular"&amp;10&amp;K7F7F7F &amp;"Calibri,Regular"&amp;10&amp;B&amp;K7F7F7FCentral Bank of Kuwait - Internal    &amp;B&amp;"Simplified Arabic,Regular"&amp;10&amp;K7F7F7Fبنك الكويت المركزي - داخلي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0BEC-9F1D-41A9-BE45-6F6A6EAF95EA}">
  <sheetPr>
    <pageSetUpPr autoPageBreaks="0"/>
  </sheetPr>
  <dimension ref="A1:R24"/>
  <sheetViews>
    <sheetView workbookViewId="0">
      <selection activeCell="C22" sqref="C22"/>
    </sheetView>
  </sheetViews>
  <sheetFormatPr defaultRowHeight="15" x14ac:dyDescent="0.25"/>
  <cols>
    <col min="1" max="1" width="14.42578125" style="34" bestFit="1" customWidth="1"/>
    <col min="2" max="2" width="17.7109375" style="34" bestFit="1" customWidth="1"/>
    <col min="3" max="3" width="47" style="34" bestFit="1" customWidth="1"/>
    <col min="4" max="4" width="9.140625" style="34"/>
    <col min="5" max="5" width="40.28515625" style="34" bestFit="1" customWidth="1"/>
    <col min="6" max="6" width="10.140625" style="34" bestFit="1" customWidth="1"/>
    <col min="7" max="8" width="10.7109375" style="34" bestFit="1" customWidth="1"/>
    <col min="9" max="9" width="11.28515625" style="34" customWidth="1"/>
    <col min="10" max="10" width="15.42578125" style="34" bestFit="1" customWidth="1"/>
    <col min="11" max="11" width="7.42578125" style="34" bestFit="1" customWidth="1"/>
    <col min="12" max="12" width="9.140625" style="34"/>
    <col min="13" max="13" width="13.7109375" style="34" bestFit="1" customWidth="1"/>
    <col min="14" max="16384" width="9.140625" style="34"/>
  </cols>
  <sheetData>
    <row r="1" spans="1:18" x14ac:dyDescent="0.25">
      <c r="F1" s="42"/>
      <c r="G1" s="57"/>
      <c r="H1" s="57"/>
      <c r="I1" s="57"/>
      <c r="N1" s="42"/>
      <c r="R1" s="42"/>
    </row>
    <row r="2" spans="1:18" x14ac:dyDescent="0.25">
      <c r="H2" s="40"/>
      <c r="I2" s="54"/>
      <c r="J2" s="54"/>
      <c r="K2" s="54"/>
      <c r="L2" s="54"/>
      <c r="M2" s="54"/>
      <c r="N2" s="42"/>
      <c r="O2" s="42"/>
      <c r="R2" s="42"/>
    </row>
    <row r="3" spans="1:18" x14ac:dyDescent="0.25">
      <c r="A3" s="35" t="s">
        <v>87</v>
      </c>
      <c r="B3" s="38"/>
      <c r="C3" s="38"/>
      <c r="D3" s="38"/>
      <c r="E3" s="38"/>
      <c r="H3" s="41"/>
      <c r="I3" s="42"/>
      <c r="J3" s="42"/>
      <c r="K3" s="42"/>
      <c r="L3" s="42"/>
      <c r="M3" s="42"/>
      <c r="N3" s="42"/>
      <c r="O3" s="42"/>
      <c r="R3" s="41"/>
    </row>
    <row r="4" spans="1:18" x14ac:dyDescent="0.25">
      <c r="A4" s="39"/>
      <c r="B4" s="55" t="s">
        <v>87</v>
      </c>
      <c r="C4" s="55"/>
      <c r="D4" s="55"/>
      <c r="E4" s="55"/>
      <c r="H4" s="41"/>
      <c r="I4" s="42"/>
      <c r="J4" s="42"/>
      <c r="K4" s="42"/>
      <c r="L4" s="42"/>
      <c r="M4" s="42"/>
      <c r="N4" s="42"/>
      <c r="O4" s="42"/>
      <c r="R4" s="42"/>
    </row>
    <row r="5" spans="1:18" x14ac:dyDescent="0.25">
      <c r="A5" s="36"/>
      <c r="B5" s="43" t="s">
        <v>157</v>
      </c>
      <c r="C5" s="43" t="s">
        <v>179</v>
      </c>
      <c r="D5" s="43"/>
      <c r="E5" s="43" t="s">
        <v>180</v>
      </c>
      <c r="H5" s="41"/>
      <c r="I5" s="42"/>
      <c r="J5" s="42"/>
      <c r="K5" s="42"/>
      <c r="L5" s="42"/>
      <c r="M5" s="42"/>
      <c r="N5" s="41"/>
      <c r="R5" s="42"/>
    </row>
    <row r="6" spans="1:18" x14ac:dyDescent="0.25">
      <c r="A6" s="36"/>
      <c r="C6" s="37" t="s">
        <v>266</v>
      </c>
      <c r="E6" s="37" t="s">
        <v>267</v>
      </c>
      <c r="H6" s="40"/>
      <c r="I6" s="54"/>
      <c r="J6" s="54"/>
      <c r="K6" s="54"/>
      <c r="L6" s="54"/>
      <c r="M6" s="54"/>
      <c r="N6" s="42"/>
    </row>
    <row r="8" spans="1:18" x14ac:dyDescent="0.25">
      <c r="A8" s="40"/>
      <c r="B8" s="40"/>
      <c r="C8" s="40"/>
      <c r="D8" s="40"/>
      <c r="E8" s="40"/>
    </row>
    <row r="9" spans="1:18" x14ac:dyDescent="0.25">
      <c r="A9" s="40"/>
      <c r="B9" s="40"/>
      <c r="C9" s="40"/>
      <c r="D9" s="40"/>
      <c r="E9" s="40"/>
    </row>
    <row r="14" spans="1:18" ht="27.75" customHeight="1" x14ac:dyDescent="0.25"/>
    <row r="15" spans="1:18" hidden="1" x14ac:dyDescent="0.25">
      <c r="A15" s="36"/>
      <c r="B15" s="41"/>
      <c r="C15" s="41"/>
      <c r="D15" s="41"/>
      <c r="E15" s="41"/>
    </row>
    <row r="16" spans="1:18" x14ac:dyDescent="0.25">
      <c r="A16" s="48"/>
      <c r="B16" s="48"/>
      <c r="C16" s="48"/>
      <c r="D16" s="48"/>
      <c r="E16" s="48"/>
    </row>
    <row r="17" spans="1:5" x14ac:dyDescent="0.25">
      <c r="A17" s="48"/>
      <c r="B17" s="48"/>
      <c r="C17" s="48"/>
      <c r="D17" s="48"/>
      <c r="E17" s="48"/>
    </row>
    <row r="18" spans="1:5" x14ac:dyDescent="0.25">
      <c r="A18" s="41"/>
      <c r="B18" s="54"/>
      <c r="C18" s="54"/>
      <c r="D18" s="54"/>
      <c r="E18" s="54"/>
    </row>
    <row r="19" spans="1:5" x14ac:dyDescent="0.25">
      <c r="A19" s="41"/>
      <c r="B19" s="41"/>
      <c r="C19" s="41"/>
      <c r="D19" s="41"/>
      <c r="E19" s="41"/>
    </row>
    <row r="20" spans="1:5" x14ac:dyDescent="0.25">
      <c r="A20" s="41"/>
      <c r="B20" s="42"/>
      <c r="C20" s="45"/>
      <c r="D20" s="42"/>
      <c r="E20" s="45"/>
    </row>
    <row r="21" spans="1:5" x14ac:dyDescent="0.25">
      <c r="A21" s="41"/>
      <c r="B21" s="40"/>
      <c r="C21" s="40"/>
      <c r="D21" s="40"/>
      <c r="E21" s="40"/>
    </row>
    <row r="22" spans="1:5" x14ac:dyDescent="0.25">
      <c r="A22" s="41"/>
      <c r="B22" s="41"/>
      <c r="C22" s="41"/>
      <c r="D22" s="41"/>
      <c r="E22" s="41"/>
    </row>
    <row r="23" spans="1:5" x14ac:dyDescent="0.25">
      <c r="A23" s="41"/>
      <c r="B23" s="42"/>
      <c r="C23" s="45"/>
      <c r="D23" s="42"/>
      <c r="E23" s="45"/>
    </row>
    <row r="24" spans="1:5" x14ac:dyDescent="0.25">
      <c r="A24" s="41"/>
      <c r="B24" s="42"/>
      <c r="C24" s="45"/>
      <c r="D24" s="42"/>
      <c r="E24" s="45"/>
    </row>
  </sheetData>
  <mergeCells count="5">
    <mergeCell ref="I6:M6"/>
    <mergeCell ref="B18:E18"/>
    <mergeCell ref="G1:I1"/>
    <mergeCell ref="I2:M2"/>
    <mergeCell ref="B4:E4"/>
  </mergeCells>
  <hyperlinks>
    <hyperlink ref="C6" r:id="rId1" location=":~:text=KD-,32.000,-KD%2034.500" xr:uid="{3EE2B2FD-1541-441F-8960-44A363C27ADD}"/>
    <hyperlink ref="E6" r:id="rId2" location=":~:text=KD-,4.750,-Delivery%20on%20or" xr:uid="{850B1DA0-EAA4-4C7B-AE16-D4B01CBF966B}"/>
  </hyperlinks>
  <pageMargins left="0.7" right="0.7" top="0.75" bottom="0.75" header="0.3" footer="0.3"/>
  <pageSetup paperSize="9" orientation="portrait" r:id="rId3"/>
  <headerFooter>
    <oddFooter>&amp;C&amp;"Times New Roman,Regular"&amp;10&amp;K7F7F7F &amp;"Calibri,Regular"&amp;10&amp;B&amp;K7F7F7FCentral Bank of Kuwait - Internal    &amp;B&amp;"Simplified Arabic,Regular"&amp;10&amp;K7F7F7Fبنك الكويت المركزي - داخلي</oddFooter>
    <evenFooter>&amp;C&amp;"Times New Roman,Regular"&amp;10&amp;K7F7F7F &amp;"Calibri,Regular"&amp;10&amp;B&amp;K7F7F7FCentral Bank of Kuwait - Internal    &amp;B&amp;"Simplified Arabic,Regular"&amp;10&amp;K7F7F7Fبنك الكويت المركزي - داخلي</evenFooter>
    <firstFooter>&amp;C&amp;"Times New Roman,Regular"&amp;10&amp;K7F7F7F &amp;"Calibri,Regular"&amp;10&amp;B&amp;K7F7F7FCentral Bank of Kuwait - Internal    &amp;B&amp;"Simplified Arabic,Regular"&amp;10&amp;K7F7F7Fبنك الكويت المركزي - داخلي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28FB-42BD-4791-A912-BA7015BC6F95}">
  <sheetPr>
    <pageSetUpPr autoPageBreaks="0"/>
  </sheetPr>
  <dimension ref="A1:R18"/>
  <sheetViews>
    <sheetView workbookViewId="0">
      <selection activeCell="E34" sqref="E34"/>
    </sheetView>
  </sheetViews>
  <sheetFormatPr defaultRowHeight="15" x14ac:dyDescent="0.25"/>
  <cols>
    <col min="1" max="1" width="14.42578125" style="34" bestFit="1" customWidth="1"/>
    <col min="2" max="2" width="17.7109375" style="34" bestFit="1" customWidth="1"/>
    <col min="3" max="3" width="47" style="34" bestFit="1" customWidth="1"/>
    <col min="4" max="4" width="9.140625" style="34"/>
    <col min="5" max="5" width="46" style="34" bestFit="1" customWidth="1"/>
    <col min="6" max="6" width="10.140625" style="34" bestFit="1" customWidth="1"/>
    <col min="7" max="8" width="10.7109375" style="34" bestFit="1" customWidth="1"/>
    <col min="9" max="9" width="11.28515625" style="34" customWidth="1"/>
    <col min="10" max="10" width="15.42578125" style="34" bestFit="1" customWidth="1"/>
    <col min="11" max="11" width="7.42578125" style="34" bestFit="1" customWidth="1"/>
    <col min="12" max="12" width="9.140625" style="34"/>
    <col min="13" max="13" width="13.7109375" style="34" bestFit="1" customWidth="1"/>
    <col min="14" max="14" width="7.42578125" style="34" bestFit="1" customWidth="1"/>
    <col min="15" max="16384" width="9.140625" style="34"/>
  </cols>
  <sheetData>
    <row r="1" spans="1:18" x14ac:dyDescent="0.25">
      <c r="F1" s="42"/>
      <c r="G1" s="57"/>
      <c r="H1" s="57"/>
      <c r="I1" s="57"/>
      <c r="O1" s="42"/>
    </row>
    <row r="2" spans="1:18" x14ac:dyDescent="0.25">
      <c r="A2" s="35" t="s">
        <v>90</v>
      </c>
      <c r="B2" s="38"/>
      <c r="C2" s="38"/>
      <c r="D2" s="38"/>
      <c r="E2" s="38"/>
      <c r="F2" s="42"/>
      <c r="G2" s="49"/>
      <c r="H2" s="49"/>
      <c r="I2" s="49"/>
      <c r="O2" s="41"/>
      <c r="P2" s="42"/>
      <c r="Q2" s="41"/>
      <c r="R2" s="42"/>
    </row>
    <row r="3" spans="1:18" x14ac:dyDescent="0.25">
      <c r="A3" s="39"/>
      <c r="B3" s="55" t="s">
        <v>91</v>
      </c>
      <c r="C3" s="55"/>
      <c r="D3" s="55"/>
      <c r="E3" s="55"/>
      <c r="F3" s="42"/>
      <c r="G3" s="50"/>
      <c r="H3" s="42"/>
      <c r="I3" s="42"/>
      <c r="O3" s="42"/>
      <c r="P3" s="42"/>
      <c r="Q3" s="42"/>
      <c r="R3" s="42"/>
    </row>
    <row r="4" spans="1:18" x14ac:dyDescent="0.25">
      <c r="A4" s="36"/>
      <c r="B4" s="43" t="s">
        <v>157</v>
      </c>
      <c r="C4" s="43" t="s">
        <v>179</v>
      </c>
      <c r="D4" s="43"/>
      <c r="E4" s="43" t="s">
        <v>180</v>
      </c>
      <c r="F4" s="42"/>
      <c r="G4" s="50"/>
      <c r="H4" s="42"/>
      <c r="I4" s="42"/>
      <c r="O4" s="41"/>
      <c r="P4" s="42"/>
      <c r="Q4" s="42"/>
      <c r="R4" s="42"/>
    </row>
    <row r="5" spans="1:18" x14ac:dyDescent="0.25">
      <c r="A5" s="36"/>
      <c r="C5" s="37" t="s">
        <v>269</v>
      </c>
      <c r="E5" s="37" t="s">
        <v>268</v>
      </c>
      <c r="F5" s="42"/>
      <c r="G5" s="50"/>
      <c r="H5" s="42"/>
      <c r="I5" s="42"/>
      <c r="O5" s="42"/>
      <c r="P5" s="42"/>
      <c r="Q5" s="42"/>
      <c r="R5" s="42"/>
    </row>
    <row r="6" spans="1:18" x14ac:dyDescent="0.25">
      <c r="H6" s="40"/>
      <c r="I6" s="54"/>
      <c r="J6" s="54"/>
      <c r="K6" s="54"/>
      <c r="L6" s="54"/>
      <c r="M6" s="54"/>
      <c r="N6" s="54"/>
      <c r="O6" s="42"/>
      <c r="P6" s="42"/>
      <c r="Q6" s="42"/>
      <c r="R6" s="42"/>
    </row>
    <row r="7" spans="1:18" x14ac:dyDescent="0.25">
      <c r="A7" s="35" t="s">
        <v>94</v>
      </c>
      <c r="B7" s="38"/>
      <c r="C7" s="38"/>
      <c r="D7" s="38"/>
      <c r="E7" s="38"/>
      <c r="H7" s="41"/>
      <c r="I7" s="42"/>
      <c r="J7" s="42"/>
      <c r="K7" s="42"/>
      <c r="L7" s="42"/>
      <c r="M7" s="42"/>
      <c r="N7" s="42"/>
      <c r="O7" s="42"/>
      <c r="P7" s="42"/>
      <c r="Q7" s="42"/>
      <c r="R7" s="42"/>
    </row>
    <row r="8" spans="1:18" x14ac:dyDescent="0.25">
      <c r="A8" s="39"/>
      <c r="B8" s="55" t="s">
        <v>96</v>
      </c>
      <c r="C8" s="55"/>
      <c r="D8" s="55"/>
      <c r="E8" s="55"/>
      <c r="H8" s="41"/>
      <c r="I8" s="42"/>
      <c r="J8" s="42"/>
      <c r="K8" s="42"/>
      <c r="L8" s="42"/>
      <c r="M8" s="42"/>
      <c r="N8" s="42"/>
      <c r="O8" s="42"/>
      <c r="P8" s="42"/>
      <c r="Q8" s="41"/>
      <c r="R8" s="42"/>
    </row>
    <row r="9" spans="1:18" x14ac:dyDescent="0.25">
      <c r="A9" s="36"/>
      <c r="B9" s="43" t="s">
        <v>157</v>
      </c>
      <c r="C9" s="43" t="s">
        <v>179</v>
      </c>
      <c r="D9" s="43"/>
      <c r="E9" s="43" t="s">
        <v>180</v>
      </c>
      <c r="H9" s="41"/>
      <c r="I9" s="42"/>
      <c r="J9" s="42"/>
      <c r="K9" s="42"/>
      <c r="L9" s="42"/>
      <c r="M9" s="42"/>
      <c r="N9" s="42"/>
      <c r="O9" s="41"/>
      <c r="Q9" s="42"/>
      <c r="R9" s="42"/>
    </row>
    <row r="10" spans="1:18" x14ac:dyDescent="0.25">
      <c r="A10" s="36"/>
      <c r="C10" s="37" t="s">
        <v>271</v>
      </c>
      <c r="E10" s="37" t="s">
        <v>270</v>
      </c>
      <c r="H10" s="40"/>
      <c r="I10" s="54"/>
      <c r="J10" s="54"/>
      <c r="K10" s="54"/>
      <c r="L10" s="54"/>
      <c r="M10" s="54"/>
      <c r="N10" s="54"/>
      <c r="O10" s="42"/>
      <c r="Q10" s="42"/>
      <c r="R10" s="42"/>
    </row>
    <row r="11" spans="1:18" x14ac:dyDescent="0.25">
      <c r="Q11" s="42"/>
      <c r="R11" s="42"/>
    </row>
    <row r="12" spans="1:18" x14ac:dyDescent="0.25">
      <c r="A12" s="35" t="s">
        <v>98</v>
      </c>
      <c r="B12" s="36"/>
      <c r="C12" s="36"/>
      <c r="D12" s="36"/>
      <c r="E12" s="36"/>
      <c r="Q12" s="41"/>
      <c r="R12" s="42"/>
    </row>
    <row r="13" spans="1:18" x14ac:dyDescent="0.25">
      <c r="A13" s="39"/>
      <c r="B13" s="55" t="s">
        <v>99</v>
      </c>
      <c r="C13" s="55"/>
      <c r="D13" s="55"/>
      <c r="E13" s="55"/>
      <c r="Q13" s="42"/>
      <c r="R13" s="42"/>
    </row>
    <row r="14" spans="1:18" x14ac:dyDescent="0.25">
      <c r="A14" s="36"/>
      <c r="B14" s="43" t="s">
        <v>157</v>
      </c>
      <c r="C14" s="43" t="s">
        <v>179</v>
      </c>
      <c r="D14" s="43"/>
      <c r="E14" s="43" t="s">
        <v>180</v>
      </c>
      <c r="Q14" s="42"/>
      <c r="R14" s="42"/>
    </row>
    <row r="15" spans="1:18" x14ac:dyDescent="0.25">
      <c r="A15" s="36"/>
      <c r="B15" s="40"/>
      <c r="C15" s="37" t="s">
        <v>273</v>
      </c>
      <c r="D15" s="40"/>
      <c r="E15" s="37" t="s">
        <v>272</v>
      </c>
      <c r="Q15" s="42"/>
      <c r="R15" s="42"/>
    </row>
    <row r="16" spans="1:18" x14ac:dyDescent="0.25">
      <c r="A16" s="40"/>
      <c r="B16" s="40"/>
      <c r="C16" s="40"/>
      <c r="D16" s="40"/>
      <c r="E16" s="40"/>
      <c r="Q16" s="42"/>
      <c r="R16" s="42"/>
    </row>
    <row r="17" spans="1:5" x14ac:dyDescent="0.25">
      <c r="A17" s="41"/>
      <c r="B17" s="42"/>
      <c r="C17" s="45"/>
      <c r="D17" s="42"/>
      <c r="E17" s="45"/>
    </row>
    <row r="18" spans="1:5" x14ac:dyDescent="0.25">
      <c r="A18" s="41"/>
      <c r="B18" s="42"/>
      <c r="C18" s="45"/>
      <c r="D18" s="42"/>
      <c r="E18" s="45"/>
    </row>
  </sheetData>
  <mergeCells count="6">
    <mergeCell ref="B13:E13"/>
    <mergeCell ref="G1:I1"/>
    <mergeCell ref="B3:E3"/>
    <mergeCell ref="I6:N6"/>
    <mergeCell ref="B8:E8"/>
    <mergeCell ref="I10:N10"/>
  </mergeCells>
  <hyperlinks>
    <hyperlink ref="E5" r:id="rId1" location=":~:text=329.900%20KD-,309.900,-KD" xr:uid="{30A3BF41-3DBD-48C2-B467-552AF511909A}"/>
    <hyperlink ref="C5" r:id="rId2" location=":~:text=Review%20this%20product-,1%2C818.000,-KD" xr:uid="{4297AF61-587C-41EF-A89E-61DFF60E2DA2}"/>
    <hyperlink ref="E10" r:id="rId3" location=":~:text=Review%20this%20product-,119.000,-KD" xr:uid="{D28ADB7B-F773-49E7-8DA1-B843F12CBEBA}"/>
    <hyperlink ref="C10" r:id="rId4" location=":~:text=Review%20this%20product-,660.000,-KD" xr:uid="{0A93DAB7-A433-4699-8DB8-AD10A0687BC1}"/>
    <hyperlink ref="E15" r:id="rId5" location=":~:text=Review%20this%20product-,12.950,-KD" xr:uid="{81E65298-5D67-4072-8DC3-932EE0BB6AB3}"/>
    <hyperlink ref="C15" r:id="rId6" location=":~:text=Review%20this%20product-,14.950,-KD" xr:uid="{0ABAB433-333A-45F9-9BB8-97A8DC039455}"/>
  </hyperlinks>
  <pageMargins left="0.7" right="0.7" top="0.75" bottom="0.75" header="0.3" footer="0.3"/>
  <pageSetup paperSize="9" orientation="portrait" r:id="rId7"/>
  <headerFooter>
    <oddFooter>&amp;C&amp;"Times New Roman,Regular"&amp;10&amp;K7F7F7F &amp;"Calibri,Regular"&amp;10&amp;B&amp;K7F7F7FCentral Bank of Kuwait - Internal    &amp;B&amp;"Simplified Arabic,Regular"&amp;10&amp;K7F7F7Fبنك الكويت المركزي - داخلي</oddFooter>
    <evenFooter>&amp;C&amp;"Times New Roman,Regular"&amp;10&amp;K7F7F7F &amp;"Calibri,Regular"&amp;10&amp;B&amp;K7F7F7FCentral Bank of Kuwait - Internal    &amp;B&amp;"Simplified Arabic,Regular"&amp;10&amp;K7F7F7Fبنك الكويت المركزي - داخلي</evenFooter>
    <firstFooter>&amp;C&amp;"Times New Roman,Regular"&amp;10&amp;K7F7F7F &amp;"Calibri,Regular"&amp;10&amp;B&amp;K7F7F7FCentral Bank of Kuwait - Internal    &amp;B&amp;"Simplified Arabic,Regular"&amp;10&amp;K7F7F7Fبنك الكويت المركزي - داخلي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B48DF-9D23-4734-BD01-7DFF331D6836}">
  <sheetPr>
    <pageSetUpPr autoPageBreaks="0"/>
  </sheetPr>
  <dimension ref="A1"/>
  <sheetViews>
    <sheetView workbookViewId="0">
      <selection activeCell="E20" sqref="E20"/>
    </sheetView>
  </sheetViews>
  <sheetFormatPr defaultRowHeight="15" x14ac:dyDescent="0.25"/>
  <cols>
    <col min="1" max="16384" width="9.140625" style="34"/>
  </cols>
  <sheetData/>
  <pageMargins left="0.7" right="0.7" top="0.75" bottom="0.75" header="0.3" footer="0.3"/>
  <pageSetup paperSize="9" orientation="portrait" r:id="rId1"/>
  <headerFooter>
    <oddFooter>&amp;C&amp;"Times New Roman,Regular"&amp;10&amp;K7F7F7F &amp;"Calibri,Regular"&amp;10&amp;B&amp;K7F7F7FCentral Bank of Kuwait - Internal    &amp;B&amp;"Simplified Arabic,Regular"&amp;10&amp;K7F7F7Fبنك الكويت المركزي - داخلي</oddFooter>
    <evenFooter>&amp;C&amp;"Times New Roman,Regular"&amp;10&amp;K7F7F7F &amp;"Calibri,Regular"&amp;10&amp;B&amp;K7F7F7FCentral Bank of Kuwait - Internal    &amp;B&amp;"Simplified Arabic,Regular"&amp;10&amp;K7F7F7Fبنك الكويت المركزي - داخلي</evenFooter>
    <firstFooter>&amp;C&amp;"Times New Roman,Regular"&amp;10&amp;K7F7F7F &amp;"Calibri,Regular"&amp;10&amp;B&amp;K7F7F7FCentral Bank of Kuwait - Internal    &amp;B&amp;"Simplified Arabic,Regular"&amp;10&amp;K7F7F7Fبنك الكويت المركزي - داخلي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F00BB-5040-4F63-A5F6-92FF2C1CB070}">
  <sheetPr>
    <pageSetUpPr autoPageBreaks="0"/>
  </sheetPr>
  <dimension ref="A1:L28"/>
  <sheetViews>
    <sheetView workbookViewId="0">
      <selection activeCell="E23" sqref="E23"/>
    </sheetView>
  </sheetViews>
  <sheetFormatPr defaultRowHeight="15" x14ac:dyDescent="0.25"/>
  <cols>
    <col min="1" max="1" width="14.42578125" style="34" bestFit="1" customWidth="1"/>
    <col min="2" max="2" width="17.7109375" style="34" bestFit="1" customWidth="1"/>
    <col min="3" max="3" width="47" style="34" bestFit="1" customWidth="1"/>
    <col min="4" max="4" width="9.140625" style="34"/>
    <col min="5" max="5" width="40.28515625" style="34" bestFit="1" customWidth="1"/>
    <col min="6" max="6" width="15.42578125" style="34" bestFit="1" customWidth="1"/>
    <col min="7" max="7" width="7.42578125" style="34" bestFit="1" customWidth="1"/>
    <col min="8" max="8" width="9.140625" style="34"/>
    <col min="9" max="9" width="13.7109375" style="34" bestFit="1" customWidth="1"/>
    <col min="10" max="10" width="7.42578125" style="34" bestFit="1" customWidth="1"/>
    <col min="11" max="16384" width="9.140625" style="34"/>
  </cols>
  <sheetData>
    <row r="1" spans="1:12" x14ac:dyDescent="0.25">
      <c r="K1" s="42"/>
    </row>
    <row r="2" spans="1:12" x14ac:dyDescent="0.25">
      <c r="F2" s="54"/>
      <c r="G2" s="54"/>
      <c r="H2" s="54"/>
      <c r="I2" s="54"/>
      <c r="J2" s="54"/>
      <c r="K2" s="42"/>
      <c r="L2" s="42"/>
    </row>
    <row r="3" spans="1:12" x14ac:dyDescent="0.25">
      <c r="A3" s="35" t="s">
        <v>127</v>
      </c>
      <c r="B3" s="38"/>
      <c r="C3" s="38"/>
      <c r="D3" s="38"/>
      <c r="E3" s="38"/>
      <c r="F3" s="42"/>
      <c r="G3" s="42"/>
      <c r="H3" s="42"/>
      <c r="I3" s="42"/>
      <c r="J3" s="42"/>
      <c r="K3" s="42"/>
      <c r="L3" s="42"/>
    </row>
    <row r="4" spans="1:12" x14ac:dyDescent="0.25">
      <c r="A4" s="39"/>
      <c r="B4" s="55" t="s">
        <v>128</v>
      </c>
      <c r="C4" s="55"/>
      <c r="D4" s="55"/>
      <c r="E4" s="55"/>
      <c r="F4" s="42"/>
      <c r="G4" s="42"/>
      <c r="H4" s="42"/>
      <c r="I4" s="42"/>
      <c r="J4" s="42"/>
      <c r="K4" s="42"/>
      <c r="L4" s="42"/>
    </row>
    <row r="5" spans="1:12" x14ac:dyDescent="0.25">
      <c r="A5" s="36"/>
      <c r="B5" s="43" t="s">
        <v>157</v>
      </c>
      <c r="C5" s="43" t="s">
        <v>179</v>
      </c>
      <c r="D5" s="43"/>
      <c r="E5" s="43" t="s">
        <v>180</v>
      </c>
      <c r="F5" s="42"/>
      <c r="G5" s="42"/>
      <c r="H5" s="42"/>
      <c r="I5" s="42"/>
      <c r="J5" s="42"/>
      <c r="K5" s="41"/>
    </row>
    <row r="6" spans="1:12" x14ac:dyDescent="0.25">
      <c r="A6" s="36"/>
      <c r="C6" s="37" t="s">
        <v>274</v>
      </c>
      <c r="E6" s="37" t="s">
        <v>275</v>
      </c>
      <c r="F6" s="54"/>
      <c r="G6" s="54"/>
      <c r="H6" s="54"/>
      <c r="I6" s="54"/>
      <c r="J6" s="54"/>
      <c r="K6" s="42"/>
    </row>
    <row r="7" spans="1:12" x14ac:dyDescent="0.25">
      <c r="A7" s="42"/>
      <c r="B7" s="42"/>
      <c r="D7" s="42"/>
      <c r="E7" s="42"/>
    </row>
    <row r="8" spans="1:12" x14ac:dyDescent="0.25">
      <c r="A8" s="41"/>
      <c r="B8" s="41"/>
      <c r="C8" s="41"/>
      <c r="D8" s="41"/>
      <c r="E8" s="41"/>
    </row>
    <row r="9" spans="1:12" x14ac:dyDescent="0.25">
      <c r="A9" s="40"/>
      <c r="B9" s="54"/>
      <c r="C9" s="54"/>
      <c r="D9" s="54"/>
      <c r="E9" s="54"/>
    </row>
    <row r="10" spans="1:12" x14ac:dyDescent="0.25">
      <c r="A10" s="41"/>
      <c r="B10" s="41"/>
      <c r="C10" s="41"/>
      <c r="D10" s="41"/>
      <c r="E10" s="41"/>
    </row>
    <row r="11" spans="1:12" x14ac:dyDescent="0.25">
      <c r="A11" s="41"/>
      <c r="B11" s="40"/>
      <c r="C11" s="40"/>
      <c r="D11" s="40"/>
      <c r="E11" s="40"/>
    </row>
    <row r="12" spans="1:12" x14ac:dyDescent="0.25">
      <c r="A12" s="40"/>
      <c r="B12" s="40"/>
      <c r="C12" s="40"/>
      <c r="D12" s="40"/>
      <c r="E12" s="40"/>
    </row>
    <row r="13" spans="1:12" x14ac:dyDescent="0.25">
      <c r="A13" s="40"/>
      <c r="B13" s="40"/>
      <c r="C13" s="40"/>
      <c r="D13" s="40"/>
      <c r="E13" s="40"/>
    </row>
    <row r="18" spans="1:5" ht="27.75" customHeight="1" x14ac:dyDescent="0.25"/>
    <row r="19" spans="1:5" hidden="1" x14ac:dyDescent="0.25">
      <c r="A19" s="36"/>
      <c r="B19" s="41"/>
      <c r="C19" s="41"/>
      <c r="D19" s="41"/>
      <c r="E19" s="41"/>
    </row>
    <row r="20" spans="1:5" x14ac:dyDescent="0.25">
      <c r="A20" s="48"/>
      <c r="B20" s="48"/>
      <c r="C20" s="48"/>
      <c r="D20" s="48"/>
      <c r="E20" s="48"/>
    </row>
    <row r="21" spans="1:5" x14ac:dyDescent="0.25">
      <c r="A21" s="48"/>
      <c r="B21" s="48"/>
      <c r="C21" s="48"/>
      <c r="D21" s="48"/>
      <c r="E21" s="48"/>
    </row>
    <row r="22" spans="1:5" x14ac:dyDescent="0.25">
      <c r="A22" s="41"/>
      <c r="B22" s="54"/>
      <c r="C22" s="54"/>
      <c r="D22" s="54"/>
      <c r="E22" s="54"/>
    </row>
    <row r="23" spans="1:5" x14ac:dyDescent="0.25">
      <c r="A23" s="41"/>
      <c r="B23" s="41"/>
      <c r="C23" s="41"/>
      <c r="D23" s="41"/>
      <c r="E23" s="41"/>
    </row>
    <row r="24" spans="1:5" x14ac:dyDescent="0.25">
      <c r="A24" s="41"/>
      <c r="B24" s="42"/>
      <c r="C24" s="45"/>
      <c r="D24" s="42"/>
      <c r="E24" s="45"/>
    </row>
    <row r="25" spans="1:5" x14ac:dyDescent="0.25">
      <c r="A25" s="41"/>
      <c r="B25" s="40"/>
      <c r="C25" s="40"/>
      <c r="D25" s="40"/>
      <c r="E25" s="40"/>
    </row>
    <row r="26" spans="1:5" x14ac:dyDescent="0.25">
      <c r="A26" s="41"/>
      <c r="B26" s="41"/>
      <c r="C26" s="41"/>
      <c r="D26" s="41"/>
      <c r="E26" s="41"/>
    </row>
    <row r="27" spans="1:5" x14ac:dyDescent="0.25">
      <c r="A27" s="41"/>
      <c r="B27" s="42"/>
      <c r="C27" s="45"/>
      <c r="D27" s="42"/>
      <c r="E27" s="45"/>
    </row>
    <row r="28" spans="1:5" x14ac:dyDescent="0.25">
      <c r="A28" s="41"/>
      <c r="B28" s="42"/>
      <c r="C28" s="45"/>
      <c r="D28" s="42"/>
      <c r="E28" s="45"/>
    </row>
  </sheetData>
  <mergeCells count="5">
    <mergeCell ref="B22:E22"/>
    <mergeCell ref="F2:J2"/>
    <mergeCell ref="B4:E4"/>
    <mergeCell ref="F6:J6"/>
    <mergeCell ref="B9:E9"/>
  </mergeCells>
  <hyperlinks>
    <hyperlink ref="C6" r:id="rId1" location=":~:text=for%2030%20Persons-,390.000,-KD" xr:uid="{BD277817-2757-4AA7-ABEC-02FA56DA6148}"/>
    <hyperlink ref="E6" r:id="rId2" location=":~:text=for%2015%20Persons-,160.000,-KD" xr:uid="{35079BC2-30A7-479C-AADB-1712B84B59ED}"/>
  </hyperlinks>
  <pageMargins left="0.7" right="0.7" top="0.75" bottom="0.75" header="0.3" footer="0.3"/>
  <pageSetup paperSize="9" orientation="portrait" r:id="rId3"/>
  <headerFooter>
    <oddFooter>&amp;C&amp;"Times New Roman,Regular"&amp;10&amp;K7F7F7F &amp;"Calibri,Regular"&amp;10&amp;B&amp;K7F7F7FCentral Bank of Kuwait - Internal    &amp;B&amp;"Simplified Arabic,Regular"&amp;10&amp;K7F7F7Fبنك الكويت المركزي - داخلي</oddFooter>
    <evenFooter>&amp;C&amp;"Times New Roman,Regular"&amp;10&amp;K7F7F7F &amp;"Calibri,Regular"&amp;10&amp;B&amp;K7F7F7FCentral Bank of Kuwait - Internal    &amp;B&amp;"Simplified Arabic,Regular"&amp;10&amp;K7F7F7Fبنك الكويت المركزي - داخلي</evenFooter>
    <firstFooter>&amp;C&amp;"Times New Roman,Regular"&amp;10&amp;K7F7F7F &amp;"Calibri,Regular"&amp;10&amp;B&amp;K7F7F7FCentral Bank of Kuwait - Internal    &amp;B&amp;"Simplified Arabic,Regular"&amp;10&amp;K7F7F7Fبنك الكويت المركزي - داخلي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8A74-B17C-484A-B2C9-165575134EE7}">
  <sheetPr>
    <pageSetUpPr autoPageBreaks="0"/>
  </sheetPr>
  <dimension ref="A1:O32"/>
  <sheetViews>
    <sheetView tabSelected="1" workbookViewId="0">
      <selection activeCell="C27" sqref="C27"/>
    </sheetView>
  </sheetViews>
  <sheetFormatPr defaultRowHeight="15" x14ac:dyDescent="0.25"/>
  <cols>
    <col min="1" max="1" width="14.42578125" style="34" bestFit="1" customWidth="1"/>
    <col min="2" max="2" width="17.7109375" style="34" bestFit="1" customWidth="1"/>
    <col min="3" max="3" width="47" style="34" bestFit="1" customWidth="1"/>
    <col min="4" max="4" width="9.140625" style="34"/>
    <col min="5" max="5" width="50.5703125" style="34" customWidth="1"/>
    <col min="6" max="6" width="15.42578125" style="34" bestFit="1" customWidth="1"/>
    <col min="7" max="7" width="7.42578125" style="34" bestFit="1" customWidth="1"/>
    <col min="8" max="8" width="9.140625" style="34"/>
    <col min="9" max="9" width="13.7109375" style="34" bestFit="1" customWidth="1"/>
    <col min="10" max="10" width="7.42578125" style="34" bestFit="1" customWidth="1"/>
    <col min="11" max="16384" width="9.140625" style="34"/>
  </cols>
  <sheetData>
    <row r="1" spans="1:15" x14ac:dyDescent="0.25">
      <c r="K1" s="42"/>
      <c r="L1" s="41"/>
    </row>
    <row r="2" spans="1:15" x14ac:dyDescent="0.25">
      <c r="A2" s="35" t="s">
        <v>129</v>
      </c>
      <c r="B2" s="38"/>
      <c r="C2" s="38"/>
      <c r="D2" s="38"/>
      <c r="E2" s="38"/>
      <c r="K2" s="41"/>
      <c r="L2" s="42"/>
    </row>
    <row r="3" spans="1:15" x14ac:dyDescent="0.25">
      <c r="A3" s="39"/>
      <c r="B3" s="55" t="s">
        <v>130</v>
      </c>
      <c r="C3" s="55"/>
      <c r="D3" s="55"/>
      <c r="E3" s="55"/>
      <c r="K3" s="42"/>
      <c r="L3" s="42"/>
    </row>
    <row r="4" spans="1:15" x14ac:dyDescent="0.25">
      <c r="A4" s="36"/>
      <c r="B4" s="43" t="s">
        <v>157</v>
      </c>
      <c r="C4" s="43" t="s">
        <v>179</v>
      </c>
      <c r="D4" s="43"/>
      <c r="E4" s="43" t="s">
        <v>180</v>
      </c>
      <c r="K4" s="41"/>
      <c r="L4" s="42"/>
    </row>
    <row r="5" spans="1:15" x14ac:dyDescent="0.25">
      <c r="A5" s="36"/>
      <c r="C5" s="37" t="s">
        <v>280</v>
      </c>
      <c r="E5" s="37" t="s">
        <v>279</v>
      </c>
      <c r="K5" s="42"/>
      <c r="L5" s="41"/>
    </row>
    <row r="6" spans="1:15" x14ac:dyDescent="0.25">
      <c r="F6" s="54"/>
      <c r="G6" s="54"/>
      <c r="H6" s="54"/>
      <c r="I6" s="54"/>
      <c r="J6" s="54"/>
      <c r="K6" s="42"/>
      <c r="L6" s="42"/>
    </row>
    <row r="7" spans="1:15" x14ac:dyDescent="0.25">
      <c r="A7" s="35" t="s">
        <v>133</v>
      </c>
      <c r="B7" s="38"/>
      <c r="C7" s="38"/>
      <c r="D7" s="38"/>
      <c r="E7" s="38"/>
      <c r="F7" s="42"/>
      <c r="G7" s="42"/>
      <c r="H7" s="42"/>
      <c r="I7" s="42"/>
      <c r="J7" s="42"/>
      <c r="K7" s="42"/>
      <c r="L7" s="42"/>
    </row>
    <row r="8" spans="1:15" x14ac:dyDescent="0.25">
      <c r="A8" s="39"/>
      <c r="B8" s="55" t="s">
        <v>134</v>
      </c>
      <c r="C8" s="55"/>
      <c r="D8" s="55"/>
      <c r="E8" s="55"/>
      <c r="F8" s="42"/>
      <c r="G8" s="42"/>
      <c r="H8" s="42"/>
      <c r="I8" s="42"/>
      <c r="J8" s="42"/>
      <c r="K8" s="42"/>
      <c r="L8" s="41"/>
    </row>
    <row r="9" spans="1:15" ht="15.75" thickBot="1" x14ac:dyDescent="0.3">
      <c r="A9" s="36"/>
      <c r="B9" s="43" t="s">
        <v>157</v>
      </c>
      <c r="C9" s="43" t="s">
        <v>179</v>
      </c>
      <c r="D9" s="43"/>
      <c r="E9" s="43" t="s">
        <v>180</v>
      </c>
      <c r="F9" s="42"/>
      <c r="G9" s="42"/>
      <c r="H9" s="42"/>
      <c r="I9" s="42"/>
      <c r="J9" s="42"/>
      <c r="K9" s="41"/>
      <c r="L9" s="42"/>
    </row>
    <row r="10" spans="1:15" x14ac:dyDescent="0.25">
      <c r="A10" s="36"/>
      <c r="F10" s="54"/>
      <c r="G10" s="54"/>
      <c r="H10" s="54"/>
      <c r="I10" s="54"/>
      <c r="J10" s="54"/>
      <c r="K10" s="58" t="s">
        <v>276</v>
      </c>
      <c r="L10" s="59"/>
      <c r="M10" s="59"/>
      <c r="N10" s="59"/>
      <c r="O10" s="60"/>
    </row>
    <row r="11" spans="1:15" x14ac:dyDescent="0.25">
      <c r="K11" s="61"/>
      <c r="L11" s="62"/>
      <c r="M11" s="62"/>
      <c r="N11" s="62"/>
      <c r="O11" s="63"/>
    </row>
    <row r="12" spans="1:15" x14ac:dyDescent="0.25">
      <c r="A12" s="35" t="s">
        <v>136</v>
      </c>
      <c r="B12" s="36"/>
      <c r="C12" s="36"/>
      <c r="D12" s="36"/>
      <c r="E12" s="36"/>
      <c r="K12" s="61"/>
      <c r="L12" s="62"/>
      <c r="M12" s="62"/>
      <c r="N12" s="62"/>
      <c r="O12" s="63"/>
    </row>
    <row r="13" spans="1:15" ht="15.75" thickBot="1" x14ac:dyDescent="0.3">
      <c r="A13" s="39"/>
      <c r="B13" s="55" t="s">
        <v>138</v>
      </c>
      <c r="C13" s="55"/>
      <c r="D13" s="55"/>
      <c r="E13" s="55"/>
      <c r="K13" s="64"/>
      <c r="L13" s="65"/>
      <c r="M13" s="65"/>
      <c r="N13" s="65"/>
      <c r="O13" s="66"/>
    </row>
    <row r="14" spans="1:15" x14ac:dyDescent="0.25">
      <c r="A14" s="36"/>
      <c r="B14" s="43" t="s">
        <v>157</v>
      </c>
      <c r="C14" s="43" t="s">
        <v>179</v>
      </c>
      <c r="D14" s="43"/>
      <c r="E14" s="43" t="s">
        <v>180</v>
      </c>
      <c r="L14" s="42"/>
    </row>
    <row r="15" spans="1:15" x14ac:dyDescent="0.25">
      <c r="A15" s="36"/>
      <c r="B15" s="40"/>
      <c r="C15" s="40"/>
      <c r="D15" s="40"/>
      <c r="E15" s="40"/>
      <c r="L15" s="41"/>
    </row>
    <row r="16" spans="1:15" x14ac:dyDescent="0.25">
      <c r="A16" s="40"/>
      <c r="B16" s="40"/>
      <c r="C16" s="40"/>
      <c r="D16" s="40"/>
      <c r="E16" s="40"/>
      <c r="L16" s="42"/>
    </row>
    <row r="17" spans="1:5" x14ac:dyDescent="0.25">
      <c r="A17" s="35" t="s">
        <v>141</v>
      </c>
      <c r="B17" s="36"/>
      <c r="C17" s="36"/>
      <c r="D17" s="36"/>
      <c r="E17" s="36"/>
    </row>
    <row r="18" spans="1:5" x14ac:dyDescent="0.25">
      <c r="A18" s="39"/>
      <c r="B18" s="55" t="s">
        <v>142</v>
      </c>
      <c r="C18" s="55"/>
      <c r="D18" s="55"/>
      <c r="E18" s="55"/>
    </row>
    <row r="19" spans="1:5" x14ac:dyDescent="0.25">
      <c r="A19" s="36"/>
      <c r="B19" s="43" t="s">
        <v>157</v>
      </c>
      <c r="C19" s="43" t="s">
        <v>179</v>
      </c>
      <c r="D19" s="43"/>
      <c r="E19" s="43" t="s">
        <v>180</v>
      </c>
    </row>
    <row r="20" spans="1:5" x14ac:dyDescent="0.25">
      <c r="A20" s="36"/>
      <c r="B20" s="40"/>
      <c r="C20" s="40"/>
      <c r="D20" s="40"/>
      <c r="E20" s="40"/>
    </row>
    <row r="22" spans="1:5" ht="27.75" customHeight="1" x14ac:dyDescent="0.25"/>
    <row r="23" spans="1:5" hidden="1" x14ac:dyDescent="0.25">
      <c r="A23" s="36"/>
      <c r="B23" s="41"/>
      <c r="C23" s="41"/>
      <c r="D23" s="41"/>
      <c r="E23" s="41"/>
    </row>
    <row r="24" spans="1:5" x14ac:dyDescent="0.25">
      <c r="A24" s="48"/>
      <c r="B24" s="48"/>
      <c r="C24" s="48"/>
      <c r="D24" s="48"/>
      <c r="E24" s="48"/>
    </row>
    <row r="25" spans="1:5" x14ac:dyDescent="0.25">
      <c r="A25" s="48"/>
      <c r="B25" s="48"/>
      <c r="C25" s="48"/>
      <c r="D25" s="48"/>
      <c r="E25" s="48"/>
    </row>
    <row r="26" spans="1:5" x14ac:dyDescent="0.25">
      <c r="A26" s="41"/>
      <c r="B26" s="40"/>
      <c r="C26" s="40"/>
      <c r="D26" s="40"/>
      <c r="E26" s="40"/>
    </row>
    <row r="27" spans="1:5" x14ac:dyDescent="0.25">
      <c r="A27" s="41"/>
      <c r="B27" s="41"/>
      <c r="C27" s="41"/>
      <c r="D27" s="41"/>
      <c r="E27" s="41"/>
    </row>
    <row r="28" spans="1:5" x14ac:dyDescent="0.25">
      <c r="A28" s="41"/>
      <c r="B28" s="42"/>
      <c r="C28" s="45"/>
      <c r="D28" s="42"/>
      <c r="E28" s="45"/>
    </row>
    <row r="29" spans="1:5" x14ac:dyDescent="0.25">
      <c r="A29" s="41"/>
      <c r="B29" s="40"/>
      <c r="C29" s="40"/>
      <c r="D29" s="40"/>
      <c r="E29" s="40"/>
    </row>
    <row r="30" spans="1:5" x14ac:dyDescent="0.25">
      <c r="A30" s="41"/>
      <c r="B30" s="41"/>
      <c r="C30" s="41"/>
      <c r="D30" s="41"/>
      <c r="E30" s="41"/>
    </row>
    <row r="31" spans="1:5" x14ac:dyDescent="0.25">
      <c r="A31" s="41"/>
      <c r="B31" s="42"/>
      <c r="C31" s="45"/>
      <c r="D31" s="42"/>
      <c r="E31" s="45"/>
    </row>
    <row r="32" spans="1:5" x14ac:dyDescent="0.25">
      <c r="A32" s="41"/>
      <c r="B32" s="42"/>
      <c r="C32" s="45"/>
      <c r="D32" s="42"/>
      <c r="E32" s="45"/>
    </row>
  </sheetData>
  <mergeCells count="7">
    <mergeCell ref="K10:O13"/>
    <mergeCell ref="B18:E18"/>
    <mergeCell ref="B3:E3"/>
    <mergeCell ref="F6:J6"/>
    <mergeCell ref="B8:E8"/>
    <mergeCell ref="F10:J10"/>
    <mergeCell ref="B13:E13"/>
  </mergeCells>
  <hyperlinks>
    <hyperlink ref="E5" r:id="rId1" location=":~:text=Butter%20400%20ml-,1.840,-KWD" xr:uid="{A6D3F67D-35B4-459E-906F-C8B74B2C2C60}"/>
    <hyperlink ref="C5" r:id="rId2" location=":~:text=KWD-,4.000,-Order%20by%207pm" xr:uid="{941639B5-B65E-4E4A-AF99-FFE79D40CEA7}"/>
  </hyperlinks>
  <pageMargins left="0.7" right="0.7" top="0.75" bottom="0.75" header="0.3" footer="0.3"/>
  <pageSetup paperSize="9" orientation="portrait" r:id="rId3"/>
  <headerFooter>
    <oddFooter>&amp;C&amp;"Times New Roman,Regular"&amp;10&amp;K7F7F7F &amp;"Calibri,Regular"&amp;10&amp;B&amp;K7F7F7FCentral Bank of Kuwait - Internal    &amp;B&amp;"Simplified Arabic,Regular"&amp;10&amp;K7F7F7Fبنك الكويت المركزي - داخلي</oddFooter>
    <evenFooter>&amp;C&amp;"Times New Roman,Regular"&amp;10&amp;K7F7F7F &amp;"Calibri,Regular"&amp;10&amp;B&amp;K7F7F7FCentral Bank of Kuwait - Internal    &amp;B&amp;"Simplified Arabic,Regular"&amp;10&amp;K7F7F7Fبنك الكويت المركزي - داخلي</evenFooter>
    <firstFooter>&amp;C&amp;"Times New Roman,Regular"&amp;10&amp;K7F7F7F &amp;"Calibri,Regular"&amp;10&amp;B&amp;K7F7F7FCentral Bank of Kuwait - Internal    &amp;B&amp;"Simplified Arabic,Regular"&amp;10&amp;K7F7F7Fبنك الكويت المركزي - داخلي</firstFooter>
  </headerFooter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0D6C-D228-49AE-8300-7A1637019586}">
  <sheetPr>
    <pageSetUpPr autoPageBreaks="0"/>
  </sheetPr>
  <dimension ref="A1:D51"/>
  <sheetViews>
    <sheetView workbookViewId="0">
      <selection activeCell="B38" sqref="B38"/>
    </sheetView>
  </sheetViews>
  <sheetFormatPr defaultRowHeight="15" x14ac:dyDescent="0.25"/>
  <cols>
    <col min="1" max="1" width="23.28515625" bestFit="1" customWidth="1"/>
    <col min="2" max="2" width="42.42578125" bestFit="1" customWidth="1"/>
    <col min="3" max="3" width="101.7109375" bestFit="1" customWidth="1"/>
    <col min="4" max="4" width="21.85546875" bestFit="1" customWidth="1"/>
  </cols>
  <sheetData>
    <row r="1" spans="1:4" ht="18.75" x14ac:dyDescent="0.25">
      <c r="A1" s="5" t="s">
        <v>155</v>
      </c>
      <c r="B1" s="5" t="s">
        <v>144</v>
      </c>
      <c r="C1" s="5" t="s">
        <v>145</v>
      </c>
      <c r="D1" s="5" t="s">
        <v>152</v>
      </c>
    </row>
    <row r="2" spans="1:4" x14ac:dyDescent="0.25">
      <c r="A2">
        <v>1</v>
      </c>
      <c r="B2" t="s">
        <v>147</v>
      </c>
      <c r="C2" t="s">
        <v>146</v>
      </c>
      <c r="D2" t="str">
        <f>'Major Categories'!A1</f>
        <v>Food &amp; Beverages</v>
      </c>
    </row>
    <row r="3" spans="1:4" x14ac:dyDescent="0.25">
      <c r="A3">
        <v>2</v>
      </c>
      <c r="B3" t="s">
        <v>149</v>
      </c>
      <c r="C3" t="s">
        <v>148</v>
      </c>
      <c r="D3" t="str">
        <f>'Major Categories'!A1</f>
        <v>Food &amp; Beverages</v>
      </c>
    </row>
    <row r="4" spans="1:4" x14ac:dyDescent="0.25">
      <c r="A4">
        <v>3</v>
      </c>
      <c r="B4" s="1" t="s">
        <v>151</v>
      </c>
      <c r="C4" t="s">
        <v>150</v>
      </c>
      <c r="D4" t="str">
        <f>'Major Categories'!K1</f>
        <v>RESTAURANT &amp; HOTELS</v>
      </c>
    </row>
    <row r="5" spans="1:4" x14ac:dyDescent="0.25">
      <c r="A5">
        <v>4</v>
      </c>
      <c r="B5" t="s">
        <v>153</v>
      </c>
      <c r="C5" t="s">
        <v>154</v>
      </c>
      <c r="D5" t="str">
        <f>'Major Categories'!K1</f>
        <v>RESTAURANT &amp; HOTELS</v>
      </c>
    </row>
    <row r="6" spans="1:4" x14ac:dyDescent="0.25">
      <c r="A6">
        <v>5</v>
      </c>
    </row>
    <row r="7" spans="1:4" x14ac:dyDescent="0.25">
      <c r="A7">
        <v>6</v>
      </c>
    </row>
    <row r="8" spans="1:4" x14ac:dyDescent="0.25">
      <c r="A8">
        <v>7</v>
      </c>
    </row>
    <row r="9" spans="1:4" x14ac:dyDescent="0.25">
      <c r="A9">
        <v>8</v>
      </c>
    </row>
    <row r="10" spans="1:4" x14ac:dyDescent="0.25">
      <c r="A10">
        <v>9</v>
      </c>
    </row>
    <row r="11" spans="1:4" x14ac:dyDescent="0.25">
      <c r="A11">
        <v>10</v>
      </c>
    </row>
    <row r="12" spans="1:4" x14ac:dyDescent="0.25">
      <c r="A12">
        <v>11</v>
      </c>
    </row>
    <row r="13" spans="1:4" x14ac:dyDescent="0.25">
      <c r="A13">
        <v>12</v>
      </c>
    </row>
    <row r="14" spans="1:4" x14ac:dyDescent="0.25">
      <c r="A14">
        <v>13</v>
      </c>
    </row>
    <row r="15" spans="1:4" x14ac:dyDescent="0.25">
      <c r="A15">
        <v>14</v>
      </c>
    </row>
    <row r="16" spans="1:4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</sheetData>
  <pageMargins left="0.7" right="0.7" top="0.75" bottom="0.75" header="0.3" footer="0.3"/>
  <pageSetup paperSize="9" orientation="portrait" r:id="rId1"/>
  <headerFooter>
    <oddFooter>&amp;C&amp;"Times New Roman,Regular"&amp;10&amp;K7F7F7F &amp;"Calibri,Regular"&amp;10&amp;B&amp;K7F7F7FCentral Bank of Kuwait - Internal    &amp;B&amp;"Simplified Arabic,Regular"&amp;10&amp;K7F7F7Fبنك الكويت المركزي - داخلي</oddFooter>
    <evenFooter>&amp;C&amp;"Times New Roman,Regular"&amp;10&amp;K7F7F7F &amp;"Calibri,Regular"&amp;10&amp;B&amp;K7F7F7FCentral Bank of Kuwait - Internal    &amp;B&amp;"Simplified Arabic,Regular"&amp;10&amp;K7F7F7Fبنك الكويت المركزي - داخلي</evenFooter>
    <firstFooter>&amp;C&amp;"Times New Roman,Regular"&amp;10&amp;K7F7F7F &amp;"Calibri,Regular"&amp;10&amp;B&amp;K7F7F7FCentral Bank of Kuwait - Internal    &amp;B&amp;"Simplified Arabic,Regular"&amp;10&amp;K7F7F7Fبنك الكويت المركزي - داخلي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00dadc64-b5b9-45de-a1d8-7fc865e67b44" origin="userSelected">
  <element uid="id_classification_generalbusiness" value=""/>
</sisl>
</file>

<file path=customXml/itemProps1.xml><?xml version="1.0" encoding="utf-8"?>
<ds:datastoreItem xmlns:ds="http://schemas.openxmlformats.org/officeDocument/2006/customXml" ds:itemID="{E4E6A997-F1A5-4BB3-88C5-28807CD2035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Major Categories</vt:lpstr>
      <vt:lpstr>Food &amp; Beverages</vt:lpstr>
      <vt:lpstr>Ciggarettes &amp; Tobacco</vt:lpstr>
      <vt:lpstr>CLOTHING &amp; FOOTWEAR</vt:lpstr>
      <vt:lpstr>HOUSING SERVICES</vt:lpstr>
      <vt:lpstr>FURNISHING EQUIPMENT HOUSEHOLD </vt:lpstr>
      <vt:lpstr>HEALTH</vt:lpstr>
      <vt:lpstr>TRANSPORT</vt:lpstr>
      <vt:lpstr>COMMUNICATION</vt:lpstr>
      <vt:lpstr>RECREATION &amp; CULTURE</vt:lpstr>
      <vt:lpstr>EDUCATION</vt:lpstr>
      <vt:lpstr>RESTAURANT &amp; HOTELS</vt:lpstr>
      <vt:lpstr>SERVICES &amp; MISCELLANEOUS GOODS</vt:lpstr>
      <vt:lpstr>Data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AlNajdi</dc:creator>
  <cp:keywords>CBK-BJ-CL-I</cp:keywords>
  <cp:lastModifiedBy>Abdulmohsen AlFares</cp:lastModifiedBy>
  <dcterms:created xsi:type="dcterms:W3CDTF">2025-10-28T09:24:33Z</dcterms:created>
  <dcterms:modified xsi:type="dcterms:W3CDTF">2026-03-04T08:47:28Z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2c26f08a-c72f-4740-bd28-4ab41dcdbe73</vt:lpwstr>
  </property>
  <property fmtid="{D5CDD505-2E9C-101B-9397-08002B2CF9AE}" pid="3" name="bjClsUserRVM">
    <vt:lpwstr>[]</vt:lpwstr>
  </property>
  <property fmtid="{D5CDD505-2E9C-101B-9397-08002B2CF9AE}" pid="4" name="bjSaver">
    <vt:lpwstr>7gHikH0QJGcMyP+WXNSvlTYNIT7aPjyW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policy="00dadc64-b5b9-45de-a1d8-7fc865e67b44" origin="userSelected" xmlns="http://www.boldonj</vt:lpwstr>
  </property>
  <property fmtid="{D5CDD505-2E9C-101B-9397-08002B2CF9AE}" pid="6" name="bjDocumentLabelXML-0">
    <vt:lpwstr>ames.com/2008/01/sie/internal/label"&gt;&lt;element uid="id_classification_generalbusiness" value="" /&gt;&lt;/sisl&gt;</vt:lpwstr>
  </property>
  <property fmtid="{D5CDD505-2E9C-101B-9397-08002B2CF9AE}" pid="7" name="bjDocumentSecurityLabel">
    <vt:lpwstr>Internal - داخلي</vt:lpwstr>
  </property>
  <property fmtid="{D5CDD505-2E9C-101B-9397-08002B2CF9AE}" pid="8" name="bjCentreFooterLabel-first">
    <vt:lpwstr>&amp;"Times New Roman,Regular"&amp;10&amp;K7F7F7F &amp;"Calibri,Regular"&amp;10&amp;B&amp;K7F7F7FCentral Bank of Kuwait - Internal    &amp;B&amp;"Simplified Arabic,Regular"&amp;10&amp;K7F7F7Fبنك الكويت المركزي - داخلي</vt:lpwstr>
  </property>
  <property fmtid="{D5CDD505-2E9C-101B-9397-08002B2CF9AE}" pid="9" name="bjCentreFooterLabel-even">
    <vt:lpwstr>&amp;"Times New Roman,Regular"&amp;10&amp;K7F7F7F &amp;"Calibri,Regular"&amp;10&amp;B&amp;K7F7F7FCentral Bank of Kuwait - Internal    &amp;B&amp;"Simplified Arabic,Regular"&amp;10&amp;K7F7F7Fبنك الكويت المركزي - داخلي</vt:lpwstr>
  </property>
  <property fmtid="{D5CDD505-2E9C-101B-9397-08002B2CF9AE}" pid="10" name="bjCentreFooterLabel">
    <vt:lpwstr>&amp;"Times New Roman,Regular"&amp;10&amp;K7F7F7F &amp;"Calibri,Regular"&amp;10&amp;B&amp;K7F7F7FCentral Bank of Kuwait - Internal    &amp;B&amp;"Simplified Arabic,Regular"&amp;10&amp;K7F7F7Fبنك الكويت المركزي - داخلي</vt:lpwstr>
  </property>
</Properties>
</file>